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ku\OneDrive\Documents\"/>
    </mc:Choice>
  </mc:AlternateContent>
  <xr:revisionPtr revIDLastSave="0" documentId="13_ncr:1_{F9B15438-EC18-47E4-9773-8D0205A97478}" xr6:coauthVersionLast="47" xr6:coauthVersionMax="47" xr10:uidLastSave="{00000000-0000-0000-0000-000000000000}"/>
  <bookViews>
    <workbookView xWindow="-108" yWindow="-108" windowWidth="23256" windowHeight="12456" xr2:uid="{4B7BAFC6-7434-4EB5-931B-6AF589B5C77C}"/>
  </bookViews>
  <sheets>
    <sheet name="Balance Sheet" sheetId="1" r:id="rId1"/>
    <sheet name="P&amp;L" sheetId="2" r:id="rId2"/>
    <sheet name="Revenue Modelling" sheetId="3" r:id="rId3"/>
    <sheet name="Other items" sheetId="4" r:id="rId4"/>
    <sheet name="Schedules" sheetId="5" r:id="rId5"/>
    <sheet name="P&amp;L Forcasting" sheetId="6" r:id="rId6"/>
    <sheet name="Balance Sheet " sheetId="7" r:id="rId7"/>
    <sheet name="Cash flow statement" sheetId="8" r:id="rId8"/>
    <sheet name="WACC" sheetId="9" r:id="rId9"/>
    <sheet name="DCF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0" l="1"/>
  <c r="B18" i="9"/>
  <c r="B20" i="10"/>
  <c r="E8" i="7"/>
  <c r="F8" i="7"/>
  <c r="G8" i="7"/>
  <c r="H8" i="7"/>
  <c r="B22" i="10"/>
  <c r="B13" i="9"/>
  <c r="B9" i="9"/>
  <c r="F22" i="8"/>
  <c r="G22" i="8"/>
  <c r="H22" i="8"/>
  <c r="E22" i="8"/>
  <c r="F15" i="8"/>
  <c r="G15" i="8"/>
  <c r="H15" i="8"/>
  <c r="E15" i="8"/>
  <c r="G21" i="7"/>
  <c r="G25" i="7" s="1"/>
  <c r="E21" i="7"/>
  <c r="E25" i="7" s="1"/>
  <c r="F12" i="8"/>
  <c r="G12" i="8"/>
  <c r="H12" i="8"/>
  <c r="E12" i="8"/>
  <c r="F21" i="7"/>
  <c r="F25" i="7" s="1"/>
  <c r="H31" i="7"/>
  <c r="B12" i="9" s="1"/>
  <c r="E31" i="7"/>
  <c r="H21" i="7"/>
  <c r="H25" i="7" s="1"/>
  <c r="C35" i="7"/>
  <c r="D35" i="7"/>
  <c r="B35" i="7"/>
  <c r="D32" i="7"/>
  <c r="D31" i="7"/>
  <c r="C31" i="7"/>
  <c r="B31" i="7"/>
  <c r="D25" i="7"/>
  <c r="C25" i="7"/>
  <c r="C32" i="7" s="1"/>
  <c r="B25" i="7"/>
  <c r="B32" i="7" s="1"/>
  <c r="D21" i="7"/>
  <c r="C21" i="7"/>
  <c r="B21" i="7"/>
  <c r="B12" i="7"/>
  <c r="D8" i="7"/>
  <c r="D12" i="7" s="1"/>
  <c r="C8" i="7"/>
  <c r="C12" i="7" s="1"/>
  <c r="B8" i="7"/>
  <c r="C19" i="6"/>
  <c r="D19" i="6"/>
  <c r="B19" i="6"/>
  <c r="C17" i="6"/>
  <c r="D17" i="6"/>
  <c r="B17" i="6"/>
  <c r="C14" i="6"/>
  <c r="D14" i="6"/>
  <c r="B14" i="6"/>
  <c r="C6" i="6"/>
  <c r="D6" i="6"/>
  <c r="E6" i="6"/>
  <c r="F6" i="6"/>
  <c r="G6" i="6"/>
  <c r="H6" i="6"/>
  <c r="B6" i="6"/>
  <c r="C12" i="6"/>
  <c r="D12" i="6"/>
  <c r="E12" i="6"/>
  <c r="F12" i="6"/>
  <c r="G12" i="6"/>
  <c r="H12" i="6"/>
  <c r="B12" i="6"/>
  <c r="C11" i="6"/>
  <c r="D11" i="6"/>
  <c r="E11" i="6"/>
  <c r="F11" i="6"/>
  <c r="G11" i="6"/>
  <c r="H11" i="6"/>
  <c r="B11" i="6"/>
  <c r="C5" i="6"/>
  <c r="D5" i="6"/>
  <c r="E5" i="6"/>
  <c r="F5" i="6"/>
  <c r="G5" i="6"/>
  <c r="H5" i="6"/>
  <c r="B5" i="6"/>
  <c r="C4" i="6"/>
  <c r="D4" i="6"/>
  <c r="E4" i="6"/>
  <c r="F4" i="6"/>
  <c r="G4" i="6"/>
  <c r="H4" i="6"/>
  <c r="B4" i="6"/>
  <c r="C27" i="5"/>
  <c r="C16" i="6" s="1"/>
  <c r="D27" i="5"/>
  <c r="D16" i="6" s="1"/>
  <c r="B27" i="5"/>
  <c r="B16" i="6" s="1"/>
  <c r="C25" i="5"/>
  <c r="D25" i="5"/>
  <c r="B25" i="5"/>
  <c r="C23" i="5" s="1"/>
  <c r="C17" i="5"/>
  <c r="D14" i="5" s="1"/>
  <c r="D17" i="5"/>
  <c r="E14" i="5" s="1"/>
  <c r="B17" i="5"/>
  <c r="C14" i="5" s="1"/>
  <c r="D7" i="5"/>
  <c r="C7" i="5"/>
  <c r="B7" i="5"/>
  <c r="C4" i="5" s="1"/>
  <c r="F25" i="4"/>
  <c r="G25" i="4"/>
  <c r="H25" i="4"/>
  <c r="E25" i="4"/>
  <c r="F26" i="4"/>
  <c r="G26" i="4"/>
  <c r="H26" i="4"/>
  <c r="E26" i="4"/>
  <c r="C26" i="4"/>
  <c r="D26" i="4"/>
  <c r="B26" i="4"/>
  <c r="F22" i="4"/>
  <c r="G22" i="4"/>
  <c r="H22" i="4"/>
  <c r="E22" i="4"/>
  <c r="F23" i="4"/>
  <c r="G23" i="4"/>
  <c r="H23" i="4"/>
  <c r="E23" i="4"/>
  <c r="D23" i="4"/>
  <c r="C23" i="4"/>
  <c r="B23" i="4"/>
  <c r="F16" i="4"/>
  <c r="G16" i="4"/>
  <c r="H16" i="4"/>
  <c r="E16" i="4"/>
  <c r="F17" i="4"/>
  <c r="G17" i="4"/>
  <c r="H17" i="4"/>
  <c r="E17" i="4"/>
  <c r="C17" i="4"/>
  <c r="D17" i="4"/>
  <c r="B17" i="4"/>
  <c r="F13" i="4"/>
  <c r="G13" i="4"/>
  <c r="H13" i="4"/>
  <c r="E13" i="4"/>
  <c r="F14" i="4"/>
  <c r="G14" i="4"/>
  <c r="H14" i="4"/>
  <c r="E14" i="4"/>
  <c r="C14" i="4"/>
  <c r="D14" i="4"/>
  <c r="B14" i="4"/>
  <c r="F10" i="4"/>
  <c r="G10" i="4"/>
  <c r="H10" i="4"/>
  <c r="E10" i="4"/>
  <c r="F11" i="4"/>
  <c r="G11" i="4"/>
  <c r="H11" i="4"/>
  <c r="E11" i="4"/>
  <c r="C11" i="4"/>
  <c r="D11" i="4"/>
  <c r="B11" i="4"/>
  <c r="C7" i="4"/>
  <c r="C10" i="6" s="1"/>
  <c r="D7" i="4"/>
  <c r="D8" i="4" s="1"/>
  <c r="B7" i="4"/>
  <c r="B10" i="6" s="1"/>
  <c r="C4" i="4"/>
  <c r="C20" i="4" s="1"/>
  <c r="D4" i="4"/>
  <c r="D20" i="4" s="1"/>
  <c r="B4" i="4"/>
  <c r="B7" i="6" s="1"/>
  <c r="B3" i="3"/>
  <c r="C6" i="3"/>
  <c r="D6" i="3"/>
  <c r="E6" i="3"/>
  <c r="F6" i="3"/>
  <c r="G6" i="3"/>
  <c r="H6" i="3"/>
  <c r="C3" i="3"/>
  <c r="D3" i="3"/>
  <c r="E3" i="3"/>
  <c r="F3" i="3"/>
  <c r="G3" i="3"/>
  <c r="H3" i="3"/>
  <c r="F12" i="3"/>
  <c r="G12" i="3"/>
  <c r="H12" i="3" s="1"/>
  <c r="B6" i="3"/>
  <c r="F4" i="3"/>
  <c r="G4" i="3" s="1"/>
  <c r="H4" i="3" s="1"/>
  <c r="E4" i="3"/>
  <c r="F5" i="3"/>
  <c r="G5" i="3"/>
  <c r="H5" i="3"/>
  <c r="E5" i="3"/>
  <c r="D5" i="3"/>
  <c r="C5" i="3"/>
  <c r="F18" i="3"/>
  <c r="G18" i="3"/>
  <c r="H18" i="3"/>
  <c r="E18" i="3"/>
  <c r="B18" i="3"/>
  <c r="B19" i="3" s="1"/>
  <c r="F25" i="3"/>
  <c r="G25" i="3"/>
  <c r="H25" i="3"/>
  <c r="E25" i="3"/>
  <c r="F32" i="3"/>
  <c r="G32" i="3"/>
  <c r="H32" i="3"/>
  <c r="E32" i="3"/>
  <c r="E31" i="3" s="1"/>
  <c r="E33" i="3"/>
  <c r="F33" i="3" s="1"/>
  <c r="H34" i="3"/>
  <c r="G34" i="3"/>
  <c r="F34" i="3"/>
  <c r="E34" i="3"/>
  <c r="D32" i="3"/>
  <c r="D33" i="3" s="1"/>
  <c r="C32" i="3"/>
  <c r="C33" i="3" s="1"/>
  <c r="C34" i="3" s="1"/>
  <c r="B32" i="3"/>
  <c r="B33" i="3" s="1"/>
  <c r="E26" i="3"/>
  <c r="F26" i="3" s="1"/>
  <c r="H27" i="3"/>
  <c r="G27" i="3"/>
  <c r="F27" i="3"/>
  <c r="E27" i="3"/>
  <c r="D25" i="3"/>
  <c r="D26" i="3" s="1"/>
  <c r="D27" i="3" s="1"/>
  <c r="C25" i="3"/>
  <c r="C26" i="3" s="1"/>
  <c r="B25" i="3"/>
  <c r="B26" i="3" s="1"/>
  <c r="D18" i="3"/>
  <c r="D19" i="3" s="1"/>
  <c r="D20" i="3" s="1"/>
  <c r="E20" i="3" s="1"/>
  <c r="F20" i="3" s="1"/>
  <c r="G20" i="3" s="1"/>
  <c r="H20" i="3" s="1"/>
  <c r="C18" i="3"/>
  <c r="C11" i="3"/>
  <c r="C12" i="3" s="1"/>
  <c r="D11" i="3"/>
  <c r="B11" i="3"/>
  <c r="C19" i="3"/>
  <c r="H11" i="3"/>
  <c r="D12" i="3"/>
  <c r="E11" i="3"/>
  <c r="D31" i="1"/>
  <c r="C31" i="1"/>
  <c r="B31" i="1"/>
  <c r="C21" i="1"/>
  <c r="C25" i="1" s="1"/>
  <c r="C32" i="1" s="1"/>
  <c r="D21" i="1"/>
  <c r="D25" i="1" s="1"/>
  <c r="D32" i="1" s="1"/>
  <c r="B21" i="1"/>
  <c r="B25" i="1" s="1"/>
  <c r="B32" i="1" s="1"/>
  <c r="C8" i="1"/>
  <c r="C12" i="1" s="1"/>
  <c r="D8" i="1"/>
  <c r="D12" i="1" s="1"/>
  <c r="B8" i="1"/>
  <c r="B12" i="1" s="1"/>
  <c r="D7" i="6" l="1"/>
  <c r="H20" i="4"/>
  <c r="G20" i="4"/>
  <c r="F20" i="4"/>
  <c r="C8" i="4"/>
  <c r="D10" i="6"/>
  <c r="B5" i="4"/>
  <c r="B20" i="4"/>
  <c r="D5" i="4"/>
  <c r="C5" i="4"/>
  <c r="C7" i="6"/>
  <c r="C8" i="6" s="1"/>
  <c r="C13" i="6" s="1"/>
  <c r="C15" i="6" s="1"/>
  <c r="C18" i="6" s="1"/>
  <c r="C21" i="6" s="1"/>
  <c r="C20" i="6" s="1"/>
  <c r="E20" i="4"/>
  <c r="B8" i="4"/>
  <c r="C24" i="5"/>
  <c r="B28" i="5"/>
  <c r="D28" i="5"/>
  <c r="D23" i="5"/>
  <c r="D24" i="5" s="1"/>
  <c r="C28" i="5"/>
  <c r="E23" i="5"/>
  <c r="E25" i="5" s="1"/>
  <c r="B16" i="9"/>
  <c r="B15" i="9"/>
  <c r="E32" i="7"/>
  <c r="F31" i="7"/>
  <c r="F32" i="7" s="1"/>
  <c r="G31" i="7"/>
  <c r="G32" i="7" s="1"/>
  <c r="H32" i="7"/>
  <c r="D8" i="6"/>
  <c r="C15" i="5"/>
  <c r="C19" i="5" s="1"/>
  <c r="D15" i="5"/>
  <c r="D19" i="5" s="1"/>
  <c r="H15" i="5"/>
  <c r="H17" i="8" s="1"/>
  <c r="H19" i="8" s="1"/>
  <c r="G15" i="5"/>
  <c r="G17" i="8" s="1"/>
  <c r="G19" i="8" s="1"/>
  <c r="F15" i="5"/>
  <c r="F17" i="8" s="1"/>
  <c r="F19" i="8" s="1"/>
  <c r="E15" i="5"/>
  <c r="E17" i="8" s="1"/>
  <c r="E19" i="8" s="1"/>
  <c r="C5" i="5"/>
  <c r="C9" i="5" s="1"/>
  <c r="D4" i="5"/>
  <c r="D5" i="5" s="1"/>
  <c r="E4" i="5"/>
  <c r="G33" i="3"/>
  <c r="D34" i="3"/>
  <c r="F24" i="3"/>
  <c r="G26" i="3"/>
  <c r="E24" i="3"/>
  <c r="C27" i="3"/>
  <c r="C20" i="3"/>
  <c r="C13" i="3"/>
  <c r="E13" i="3" s="1"/>
  <c r="E12" i="3" s="1"/>
  <c r="D13" i="3"/>
  <c r="G11" i="3"/>
  <c r="F11" i="3"/>
  <c r="B12" i="3"/>
  <c r="E19" i="3"/>
  <c r="F19" i="3" s="1"/>
  <c r="G19" i="3" s="1"/>
  <c r="H5" i="4" l="1"/>
  <c r="H4" i="4" s="1"/>
  <c r="H7" i="6" s="1"/>
  <c r="H8" i="6" s="1"/>
  <c r="G5" i="4"/>
  <c r="G4" i="4" s="1"/>
  <c r="G7" i="6" s="1"/>
  <c r="G8" i="6" s="1"/>
  <c r="D13" i="6"/>
  <c r="D15" i="6" s="1"/>
  <c r="D18" i="6" s="1"/>
  <c r="D21" i="6" s="1"/>
  <c r="H20" i="6" s="1"/>
  <c r="H6" i="8" s="1"/>
  <c r="E5" i="4"/>
  <c r="E4" i="4" s="1"/>
  <c r="E7" i="6" s="1"/>
  <c r="E8" i="6" s="1"/>
  <c r="G19" i="4"/>
  <c r="G20" i="6"/>
  <c r="G6" i="8" s="1"/>
  <c r="F5" i="4"/>
  <c r="F4" i="4" s="1"/>
  <c r="E20" i="6"/>
  <c r="E6" i="8" s="1"/>
  <c r="F8" i="4"/>
  <c r="F7" i="4" s="1"/>
  <c r="F10" i="6" s="1"/>
  <c r="G8" i="4"/>
  <c r="G7" i="4" s="1"/>
  <c r="G10" i="6" s="1"/>
  <c r="G13" i="6" s="1"/>
  <c r="H8" i="4"/>
  <c r="H7" i="4" s="1"/>
  <c r="H10" i="6" s="1"/>
  <c r="E8" i="4"/>
  <c r="E7" i="4" s="1"/>
  <c r="E10" i="6" s="1"/>
  <c r="E13" i="6" s="1"/>
  <c r="D20" i="6"/>
  <c r="E19" i="4"/>
  <c r="E11" i="8" s="1"/>
  <c r="F20" i="6"/>
  <c r="F6" i="8" s="1"/>
  <c r="F19" i="5"/>
  <c r="G19" i="5"/>
  <c r="H19" i="5"/>
  <c r="E19" i="5"/>
  <c r="F23" i="5"/>
  <c r="F25" i="5" s="1"/>
  <c r="E16" i="5"/>
  <c r="E8" i="8" s="1"/>
  <c r="E28" i="5"/>
  <c r="E27" i="5" s="1"/>
  <c r="F28" i="5"/>
  <c r="G28" i="5"/>
  <c r="H28" i="5"/>
  <c r="C6" i="10"/>
  <c r="D6" i="10"/>
  <c r="E6" i="10"/>
  <c r="B6" i="10"/>
  <c r="F5" i="5"/>
  <c r="F20" i="8" s="1"/>
  <c r="G5" i="5"/>
  <c r="G20" i="8" s="1"/>
  <c r="H5" i="5"/>
  <c r="H20" i="8" s="1"/>
  <c r="E5" i="5"/>
  <c r="E20" i="8" s="1"/>
  <c r="D9" i="5"/>
  <c r="E9" i="5" s="1"/>
  <c r="F9" i="5" s="1"/>
  <c r="G9" i="5" s="1"/>
  <c r="H9" i="5" s="1"/>
  <c r="F31" i="3"/>
  <c r="H33" i="3"/>
  <c r="G31" i="3"/>
  <c r="H26" i="3"/>
  <c r="H24" i="3" s="1"/>
  <c r="G24" i="3"/>
  <c r="E17" i="3"/>
  <c r="E10" i="3"/>
  <c r="H19" i="3"/>
  <c r="F13" i="3"/>
  <c r="H19" i="4" l="1"/>
  <c r="H11" i="8"/>
  <c r="H13" i="6"/>
  <c r="F7" i="6"/>
  <c r="F8" i="6" s="1"/>
  <c r="F13" i="6" s="1"/>
  <c r="F19" i="4"/>
  <c r="F11" i="8" s="1"/>
  <c r="E16" i="6"/>
  <c r="E23" i="8"/>
  <c r="G23" i="5"/>
  <c r="G25" i="5" s="1"/>
  <c r="F27" i="5"/>
  <c r="E17" i="5"/>
  <c r="F14" i="5" s="1"/>
  <c r="E12" i="7"/>
  <c r="E35" i="7" s="1"/>
  <c r="E6" i="5"/>
  <c r="H31" i="3"/>
  <c r="F10" i="3"/>
  <c r="G13" i="3"/>
  <c r="H13" i="3" s="1"/>
  <c r="G17" i="3"/>
  <c r="F17" i="3"/>
  <c r="G11" i="8" l="1"/>
  <c r="F23" i="8"/>
  <c r="F16" i="6"/>
  <c r="E7" i="5"/>
  <c r="F4" i="5" s="1"/>
  <c r="F6" i="5" s="1"/>
  <c r="E14" i="6"/>
  <c r="E15" i="6" s="1"/>
  <c r="E9" i="8"/>
  <c r="F16" i="5"/>
  <c r="F8" i="8" s="1"/>
  <c r="F17" i="5"/>
  <c r="G14" i="5" s="1"/>
  <c r="G16" i="5" s="1"/>
  <c r="H23" i="5"/>
  <c r="H25" i="5" s="1"/>
  <c r="H27" i="5" s="1"/>
  <c r="G27" i="5"/>
  <c r="H12" i="7"/>
  <c r="H35" i="7" s="1"/>
  <c r="G12" i="7"/>
  <c r="G35" i="7" s="1"/>
  <c r="F12" i="7"/>
  <c r="F35" i="7" s="1"/>
  <c r="H17" i="3"/>
  <c r="E18" i="6" l="1"/>
  <c r="E19" i="6" s="1"/>
  <c r="E4" i="8"/>
  <c r="H23" i="8"/>
  <c r="H16" i="6"/>
  <c r="G17" i="5"/>
  <c r="H14" i="5" s="1"/>
  <c r="H16" i="5" s="1"/>
  <c r="G8" i="8"/>
  <c r="F7" i="5"/>
  <c r="G4" i="5" s="1"/>
  <c r="G6" i="5" s="1"/>
  <c r="F9" i="8"/>
  <c r="F14" i="6"/>
  <c r="F15" i="6" s="1"/>
  <c r="G16" i="6"/>
  <c r="G23" i="8"/>
  <c r="G10" i="3"/>
  <c r="H10" i="3"/>
  <c r="B8" i="6"/>
  <c r="B13" i="6" s="1"/>
  <c r="B15" i="6" s="1"/>
  <c r="B18" i="6" s="1"/>
  <c r="B21" i="6" s="1"/>
  <c r="B20" i="6" s="1"/>
  <c r="H17" i="5" l="1"/>
  <c r="H8" i="8"/>
  <c r="G7" i="5"/>
  <c r="H4" i="5" s="1"/>
  <c r="H6" i="5" s="1"/>
  <c r="G9" i="8"/>
  <c r="G14" i="6"/>
  <c r="G15" i="6" s="1"/>
  <c r="E5" i="8"/>
  <c r="E24" i="8" s="1"/>
  <c r="F18" i="6"/>
  <c r="F19" i="6" s="1"/>
  <c r="F4" i="8"/>
  <c r="E21" i="6"/>
  <c r="F21" i="6" l="1"/>
  <c r="E7" i="8"/>
  <c r="E10" i="8" s="1"/>
  <c r="G18" i="6"/>
  <c r="G19" i="6" s="1"/>
  <c r="G4" i="8"/>
  <c r="H7" i="5"/>
  <c r="H9" i="8"/>
  <c r="H14" i="6"/>
  <c r="H15" i="6" s="1"/>
  <c r="F5" i="8"/>
  <c r="F24" i="8" s="1"/>
  <c r="E16" i="8" l="1"/>
  <c r="E21" i="8" s="1"/>
  <c r="B5" i="10" s="1"/>
  <c r="F7" i="8"/>
  <c r="F10" i="8" s="1"/>
  <c r="F21" i="8" s="1"/>
  <c r="H4" i="8"/>
  <c r="H18" i="6"/>
  <c r="G5" i="8"/>
  <c r="G24" i="8" s="1"/>
  <c r="G21" i="6"/>
  <c r="E25" i="8" l="1"/>
  <c r="G7" i="8"/>
  <c r="G10" i="8" s="1"/>
  <c r="G21" i="8" s="1"/>
  <c r="C5" i="10"/>
  <c r="C9" i="10" s="1"/>
  <c r="F25" i="8"/>
  <c r="H5" i="8"/>
  <c r="H7" i="8" s="1"/>
  <c r="H10" i="8" s="1"/>
  <c r="H19" i="6"/>
  <c r="H21" i="6" s="1"/>
  <c r="H21" i="8" l="1"/>
  <c r="E5" i="10" s="1"/>
  <c r="D5" i="10"/>
  <c r="D9" i="10" s="1"/>
  <c r="G25" i="8"/>
  <c r="H24" i="8"/>
  <c r="B13" i="10" l="1"/>
  <c r="B15" i="10" s="1"/>
  <c r="E9" i="10"/>
  <c r="B11" i="10" s="1"/>
  <c r="H25" i="8"/>
  <c r="B18" i="10" l="1"/>
  <c r="B24" i="10" s="1"/>
</calcChain>
</file>

<file path=xl/sharedStrings.xml><?xml version="1.0" encoding="utf-8"?>
<sst xmlns="http://schemas.openxmlformats.org/spreadsheetml/2006/main" count="248" uniqueCount="139">
  <si>
    <t>Balance Sheet</t>
  </si>
  <si>
    <t>in thousands</t>
  </si>
  <si>
    <t>Assets</t>
  </si>
  <si>
    <t>Current assets</t>
  </si>
  <si>
    <t>Other current asssets</t>
  </si>
  <si>
    <t>Total current assets</t>
  </si>
  <si>
    <t>Total assets</t>
  </si>
  <si>
    <t>Liabilities and Stockholders equity</t>
  </si>
  <si>
    <t>Current liabilities</t>
  </si>
  <si>
    <t>Current content liabilities</t>
  </si>
  <si>
    <t>Accounts payable</t>
  </si>
  <si>
    <t>Accured expenses and other liabilities</t>
  </si>
  <si>
    <t>Deffered revenue</t>
  </si>
  <si>
    <t>Total current liabilities</t>
  </si>
  <si>
    <t>Non-current content liabilities</t>
  </si>
  <si>
    <t>Total liabilities</t>
  </si>
  <si>
    <t>Stockholders equity</t>
  </si>
  <si>
    <t>Total stockholders equity</t>
  </si>
  <si>
    <t>Total liabilities and stockholders equity</t>
  </si>
  <si>
    <t xml:space="preserve">       Cash and cash equivalents</t>
  </si>
  <si>
    <t xml:space="preserve">       Other current asssets</t>
  </si>
  <si>
    <t xml:space="preserve">       content assets, net</t>
  </si>
  <si>
    <t xml:space="preserve">       property and equipment, net</t>
  </si>
  <si>
    <t xml:space="preserve">       Other non-current assets</t>
  </si>
  <si>
    <t xml:space="preserve">        Short term debt</t>
  </si>
  <si>
    <t xml:space="preserve">        Deffered revenue</t>
  </si>
  <si>
    <t xml:space="preserve">         Accured expenses and other liabilities</t>
  </si>
  <si>
    <t xml:space="preserve">         Accounts payable</t>
  </si>
  <si>
    <t xml:space="preserve">        Current content liabilities</t>
  </si>
  <si>
    <t xml:space="preserve">         Long-term debt</t>
  </si>
  <si>
    <t xml:space="preserve">         Other non-current liabilities</t>
  </si>
  <si>
    <t xml:space="preserve">          Common Stock</t>
  </si>
  <si>
    <t xml:space="preserve">          Treasury stock</t>
  </si>
  <si>
    <t xml:space="preserve">          Retained earnings</t>
  </si>
  <si>
    <t>Other current assets</t>
  </si>
  <si>
    <t xml:space="preserve">          Accumulated other comprehensive income (loss)</t>
  </si>
  <si>
    <t>P&amp;L Statement</t>
  </si>
  <si>
    <t>Revenues</t>
  </si>
  <si>
    <t>Operating income</t>
  </si>
  <si>
    <t xml:space="preserve">        Cost of revenues</t>
  </si>
  <si>
    <t xml:space="preserve">        Marketing</t>
  </si>
  <si>
    <t xml:space="preserve">        Technology and development</t>
  </si>
  <si>
    <t xml:space="preserve">        General and administrative </t>
  </si>
  <si>
    <t>Other income(expense)</t>
  </si>
  <si>
    <t xml:space="preserve">         Interest</t>
  </si>
  <si>
    <t xml:space="preserve">         Interest and other income( expense)</t>
  </si>
  <si>
    <t>Income before income tax</t>
  </si>
  <si>
    <t>Provision for income taxes</t>
  </si>
  <si>
    <t>Net income</t>
  </si>
  <si>
    <t>Revenue Sources</t>
  </si>
  <si>
    <t>Streaming revenues</t>
  </si>
  <si>
    <t>DVD Revenues</t>
  </si>
  <si>
    <t>Growth %</t>
  </si>
  <si>
    <t>Total Revenues</t>
  </si>
  <si>
    <t xml:space="preserve">Unites States and Canada </t>
  </si>
  <si>
    <t>Average yearly revenue per membership</t>
  </si>
  <si>
    <t>Average paid membership</t>
  </si>
  <si>
    <t>Europe, Middle East and Africa</t>
  </si>
  <si>
    <t>Latin America</t>
  </si>
  <si>
    <t>Asia-Pacific</t>
  </si>
  <si>
    <t>Average Monthly Revenues</t>
  </si>
  <si>
    <t>2021
 Forcasted</t>
  </si>
  <si>
    <t>2022
 Forcasted</t>
  </si>
  <si>
    <t>2023
 Forcasted</t>
  </si>
  <si>
    <t>2024
 Forcasted</t>
  </si>
  <si>
    <t>Other items</t>
  </si>
  <si>
    <t>Cost of goods sold</t>
  </si>
  <si>
    <t>as a % revenues</t>
  </si>
  <si>
    <t>Marketing</t>
  </si>
  <si>
    <t>Technology and development</t>
  </si>
  <si>
    <t xml:space="preserve">General and administrative </t>
  </si>
  <si>
    <t>Cashflow</t>
  </si>
  <si>
    <t>Schedules</t>
  </si>
  <si>
    <t>Days Payable</t>
  </si>
  <si>
    <t>PP &amp; E</t>
  </si>
  <si>
    <t>Beginning Balance</t>
  </si>
  <si>
    <t>add: Capex</t>
  </si>
  <si>
    <t>less: Depreciation</t>
  </si>
  <si>
    <t>Closing Balance</t>
  </si>
  <si>
    <t>Useful life</t>
  </si>
  <si>
    <t>Content Assets</t>
  </si>
  <si>
    <t>less: Amortisation of Content Assets</t>
  </si>
  <si>
    <t>add: Adition to Content Assets</t>
  </si>
  <si>
    <t>Debt Schedule</t>
  </si>
  <si>
    <t>Beginning Balance of Debt</t>
  </si>
  <si>
    <t>add/less: Debt Taken/(debt repaid)</t>
  </si>
  <si>
    <t>Interest Expense</t>
  </si>
  <si>
    <t>Cost of Goods sold</t>
  </si>
  <si>
    <t>Gross Margin</t>
  </si>
  <si>
    <t xml:space="preserve">Operating Expenses </t>
  </si>
  <si>
    <t>EBITDA</t>
  </si>
  <si>
    <t xml:space="preserve">        less: Depreciation</t>
  </si>
  <si>
    <t>EBIT</t>
  </si>
  <si>
    <t>EBT</t>
  </si>
  <si>
    <t>Taxes</t>
  </si>
  <si>
    <t>tax rate%</t>
  </si>
  <si>
    <t>Net Income</t>
  </si>
  <si>
    <t>Cash Flow</t>
  </si>
  <si>
    <t>Operating Taxes</t>
  </si>
  <si>
    <t>Op tax rate %</t>
  </si>
  <si>
    <t>NOPAT</t>
  </si>
  <si>
    <t>add Depreciation</t>
  </si>
  <si>
    <t>add Amortization</t>
  </si>
  <si>
    <t>Gross Cash flow</t>
  </si>
  <si>
    <t>Capex</t>
  </si>
  <si>
    <t>Extraodinary items</t>
  </si>
  <si>
    <t>UFCF</t>
  </si>
  <si>
    <t>diff bw actual and Op taxes</t>
  </si>
  <si>
    <t>Interest Expenses</t>
  </si>
  <si>
    <t>Accounts Payables</t>
  </si>
  <si>
    <t>Deffered Revenue</t>
  </si>
  <si>
    <t>Accured expenses &amp; other liabilities</t>
  </si>
  <si>
    <t>Investment in working Capital</t>
  </si>
  <si>
    <t>PP &amp;E</t>
  </si>
  <si>
    <t>Debt taken (Repaid)</t>
  </si>
  <si>
    <t>Net Cash flow</t>
  </si>
  <si>
    <t>Check</t>
  </si>
  <si>
    <t>WACC</t>
  </si>
  <si>
    <t>Risk free Rate</t>
  </si>
  <si>
    <t>Market Risk Premium</t>
  </si>
  <si>
    <t>Beta</t>
  </si>
  <si>
    <t>Cost of Equity</t>
  </si>
  <si>
    <t>Cost Debt</t>
  </si>
  <si>
    <t>Equity</t>
  </si>
  <si>
    <t>Debt</t>
  </si>
  <si>
    <t>Amount</t>
  </si>
  <si>
    <t>Equity/(Equity+Debt)</t>
  </si>
  <si>
    <t>Debt/(Equity+Debt)</t>
  </si>
  <si>
    <t>DCF Analysis</t>
  </si>
  <si>
    <t>Discounting Factor</t>
  </si>
  <si>
    <t>No of years</t>
  </si>
  <si>
    <t>PV OF UFCF</t>
  </si>
  <si>
    <t>Sum of PV</t>
  </si>
  <si>
    <t>Terminal Value</t>
  </si>
  <si>
    <t>pv of terminal value</t>
  </si>
  <si>
    <t>Enterprise Value</t>
  </si>
  <si>
    <t>Equity Value</t>
  </si>
  <si>
    <t>Netflix Balance Sheet</t>
  </si>
  <si>
    <t>P &amp; L Forcasting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</si>
</sst>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[$$-1009]#,##0.00"/>
    <numFmt numFmtId="167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vertical="center" wrapText="1"/>
    </xf>
    <xf numFmtId="3" fontId="3" fillId="2" borderId="0" xfId="0" applyNumberFormat="1" applyFont="1" applyFill="1" applyBorder="1" applyAlignment="1">
      <alignment vertical="top"/>
    </xf>
    <xf numFmtId="0" fontId="0" fillId="0" borderId="0" xfId="0" applyBorder="1"/>
    <xf numFmtId="0" fontId="3" fillId="2" borderId="0" xfId="0" applyFont="1" applyFill="1" applyBorder="1" applyAlignment="1">
      <alignment horizontal="left" vertical="center" wrapText="1" indent="2"/>
    </xf>
    <xf numFmtId="0" fontId="0" fillId="2" borderId="0" xfId="0" applyFill="1" applyBorder="1"/>
    <xf numFmtId="0" fontId="3" fillId="2" borderId="0" xfId="0" applyFont="1" applyFill="1" applyBorder="1" applyAlignment="1">
      <alignment horizontal="left" vertical="center" wrapText="1" indent="4"/>
    </xf>
    <xf numFmtId="0" fontId="3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 wrapText="1"/>
    </xf>
    <xf numFmtId="3" fontId="3" fillId="2" borderId="0" xfId="0" applyNumberFormat="1" applyFont="1" applyFill="1" applyBorder="1" applyAlignment="1">
      <alignment horizontal="justify" vertical="center" wrapText="1"/>
    </xf>
    <xf numFmtId="0" fontId="4" fillId="2" borderId="0" xfId="0" applyFont="1" applyFill="1" applyBorder="1" applyAlignment="1">
      <alignment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left" vertical="center" wrapText="1" indent="2"/>
    </xf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43" fontId="0" fillId="0" borderId="0" xfId="1" applyFont="1"/>
    <xf numFmtId="165" fontId="0" fillId="0" borderId="0" xfId="1" applyNumberFormat="1" applyFont="1"/>
    <xf numFmtId="165" fontId="0" fillId="0" borderId="0" xfId="0" applyNumberFormat="1"/>
    <xf numFmtId="165" fontId="0" fillId="0" borderId="0" xfId="1" applyNumberFormat="1" applyFont="1" applyBorder="1"/>
    <xf numFmtId="0" fontId="0" fillId="0" borderId="1" xfId="0" applyBorder="1"/>
    <xf numFmtId="165" fontId="6" fillId="2" borderId="0" xfId="1" applyNumberFormat="1" applyFont="1" applyFill="1" applyBorder="1" applyAlignment="1">
      <alignment horizontal="left" vertical="top" indent="2"/>
    </xf>
    <xf numFmtId="0" fontId="0" fillId="0" borderId="0" xfId="0" applyFont="1" applyBorder="1"/>
    <xf numFmtId="165" fontId="6" fillId="2" borderId="1" xfId="1" applyNumberFormat="1" applyFont="1" applyFill="1" applyBorder="1" applyAlignment="1">
      <alignment vertical="top"/>
    </xf>
    <xf numFmtId="165" fontId="0" fillId="0" borderId="1" xfId="1" applyNumberFormat="1" applyFont="1" applyBorder="1"/>
    <xf numFmtId="165" fontId="0" fillId="0" borderId="3" xfId="1" applyNumberFormat="1" applyFont="1" applyBorder="1"/>
    <xf numFmtId="165" fontId="0" fillId="0" borderId="0" xfId="1" applyNumberFormat="1" applyFont="1" applyFill="1" applyBorder="1"/>
    <xf numFmtId="165" fontId="0" fillId="0" borderId="2" xfId="1" applyNumberFormat="1" applyFont="1" applyBorder="1"/>
    <xf numFmtId="9" fontId="0" fillId="0" borderId="0" xfId="0" applyNumberFormat="1"/>
    <xf numFmtId="0" fontId="0" fillId="0" borderId="0" xfId="0" applyFont="1"/>
    <xf numFmtId="166" fontId="0" fillId="0" borderId="0" xfId="0" applyNumberFormat="1"/>
    <xf numFmtId="0" fontId="0" fillId="3" borderId="0" xfId="1" applyNumberFormat="1" applyFont="1" applyFill="1"/>
    <xf numFmtId="166" fontId="0" fillId="3" borderId="0" xfId="0" applyNumberFormat="1" applyFill="1"/>
    <xf numFmtId="0" fontId="0" fillId="0" borderId="0" xfId="0" applyFill="1" applyBorder="1" applyAlignment="1">
      <alignment horizontal="left" vertical="top" wrapText="1"/>
    </xf>
    <xf numFmtId="0" fontId="0" fillId="3" borderId="0" xfId="0" applyFill="1" applyAlignment="1">
      <alignment horizontal="center"/>
    </xf>
    <xf numFmtId="9" fontId="0" fillId="0" borderId="0" xfId="2" applyFont="1"/>
    <xf numFmtId="9" fontId="0" fillId="4" borderId="0" xfId="0" applyNumberFormat="1" applyFill="1"/>
    <xf numFmtId="43" fontId="0" fillId="0" borderId="0" xfId="0" applyNumberFormat="1"/>
    <xf numFmtId="166" fontId="0" fillId="4" borderId="0" xfId="0" applyNumberFormat="1" applyFill="1"/>
    <xf numFmtId="10" fontId="0" fillId="0" borderId="0" xfId="2" applyNumberFormat="1" applyFont="1"/>
    <xf numFmtId="167" fontId="0" fillId="0" borderId="0" xfId="2" applyNumberFormat="1" applyFont="1"/>
    <xf numFmtId="9" fontId="0" fillId="0" borderId="0" xfId="2" applyNumberFormat="1" applyFont="1"/>
    <xf numFmtId="10" fontId="0" fillId="4" borderId="0" xfId="2" applyNumberFormat="1" applyFont="1" applyFill="1"/>
    <xf numFmtId="0" fontId="0" fillId="2" borderId="0" xfId="0" applyFill="1" applyBorder="1" applyAlignment="1">
      <alignment horizontal="left" vertical="top" wrapText="1"/>
    </xf>
    <xf numFmtId="43" fontId="0" fillId="2" borderId="0" xfId="0" applyNumberFormat="1" applyFill="1"/>
    <xf numFmtId="2" fontId="0" fillId="0" borderId="0" xfId="0" applyNumberFormat="1"/>
    <xf numFmtId="0" fontId="0" fillId="3" borderId="0" xfId="0" applyFill="1"/>
    <xf numFmtId="9" fontId="0" fillId="4" borderId="0" xfId="2" applyFont="1" applyFill="1"/>
    <xf numFmtId="167" fontId="0" fillId="4" borderId="0" xfId="2" applyNumberFormat="1" applyFont="1" applyFill="1"/>
    <xf numFmtId="167" fontId="0" fillId="4" borderId="0" xfId="0" applyNumberFormat="1" applyFill="1"/>
    <xf numFmtId="10" fontId="0" fillId="4" borderId="0" xfId="0" applyNumberFormat="1" applyFill="1"/>
    <xf numFmtId="164" fontId="0" fillId="0" borderId="0" xfId="0" applyNumberFormat="1"/>
    <xf numFmtId="165" fontId="6" fillId="2" borderId="0" xfId="1" applyNumberFormat="1" applyFont="1" applyFill="1" applyBorder="1" applyAlignment="1">
      <alignment vertical="top"/>
    </xf>
    <xf numFmtId="2" fontId="0" fillId="4" borderId="0" xfId="0" applyNumberFormat="1" applyFill="1"/>
    <xf numFmtId="165" fontId="1" fillId="0" borderId="0" xfId="1" applyNumberFormat="1" applyFont="1" applyBorder="1"/>
    <xf numFmtId="164" fontId="0" fillId="4" borderId="0" xfId="0" applyNumberFormat="1" applyFill="1"/>
    <xf numFmtId="43" fontId="0" fillId="4" borderId="0" xfId="0" applyNumberFormat="1" applyFill="1"/>
    <xf numFmtId="165" fontId="0" fillId="4" borderId="0" xfId="1" applyNumberFormat="1" applyFont="1" applyFill="1"/>
    <xf numFmtId="164" fontId="0" fillId="2" borderId="0" xfId="0" applyNumberFormat="1" applyFill="1"/>
    <xf numFmtId="0" fontId="0" fillId="0" borderId="3" xfId="0" applyBorder="1"/>
    <xf numFmtId="0" fontId="0" fillId="0" borderId="1" xfId="0" applyFont="1" applyBorder="1"/>
    <xf numFmtId="0" fontId="0" fillId="0" borderId="3" xfId="0" applyFont="1" applyBorder="1"/>
    <xf numFmtId="9" fontId="0" fillId="0" borderId="1" xfId="2" applyFont="1" applyBorder="1"/>
    <xf numFmtId="0" fontId="2" fillId="5" borderId="2" xfId="0" applyFont="1" applyFill="1" applyBorder="1" applyAlignment="1">
      <alignment vertical="center"/>
    </xf>
    <xf numFmtId="165" fontId="2" fillId="5" borderId="2" xfId="1" applyNumberFormat="1" applyFont="1" applyFill="1" applyBorder="1" applyAlignment="1">
      <alignment vertical="center"/>
    </xf>
    <xf numFmtId="0" fontId="0" fillId="6" borderId="0" xfId="0" applyFill="1"/>
    <xf numFmtId="0" fontId="0" fillId="3" borderId="0" xfId="0" applyFill="1" applyAlignment="1">
      <alignment horizontal="center"/>
    </xf>
    <xf numFmtId="0" fontId="0" fillId="0" borderId="4" xfId="0" applyBorder="1"/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right" vertical="top"/>
    </xf>
    <xf numFmtId="0" fontId="8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/>
    </xf>
    <xf numFmtId="0" fontId="2" fillId="7" borderId="1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5" borderId="0" xfId="0" applyFill="1"/>
    <xf numFmtId="0" fontId="2" fillId="5" borderId="0" xfId="0" applyFont="1" applyFill="1"/>
    <xf numFmtId="165" fontId="0" fillId="9" borderId="3" xfId="1" applyNumberFormat="1" applyFont="1" applyFill="1" applyBorder="1"/>
    <xf numFmtId="165" fontId="0" fillId="9" borderId="0" xfId="1" applyNumberFormat="1" applyFont="1" applyFill="1"/>
    <xf numFmtId="165" fontId="0" fillId="9" borderId="2" xfId="1" applyNumberFormat="1" applyFont="1" applyFill="1" applyBorder="1"/>
    <xf numFmtId="165" fontId="0" fillId="5" borderId="0" xfId="0" applyNumberFormat="1" applyFill="1"/>
    <xf numFmtId="165" fontId="2" fillId="5" borderId="0" xfId="0" applyNumberFormat="1" applyFont="1" applyFill="1"/>
    <xf numFmtId="165" fontId="2" fillId="5" borderId="0" xfId="1" applyNumberFormat="1" applyFont="1" applyFill="1"/>
    <xf numFmtId="0" fontId="11" fillId="5" borderId="0" xfId="0" applyFont="1" applyFill="1"/>
    <xf numFmtId="165" fontId="11" fillId="5" borderId="0" xfId="0" applyNumberFormat="1" applyFont="1" applyFill="1"/>
    <xf numFmtId="0" fontId="10" fillId="10" borderId="0" xfId="0" applyFont="1" applyFill="1"/>
    <xf numFmtId="0" fontId="9" fillId="8" borderId="0" xfId="0" applyFont="1" applyFill="1" applyAlignment="1">
      <alignment horizontal="center"/>
    </xf>
    <xf numFmtId="165" fontId="0" fillId="5" borderId="0" xfId="1" applyNumberFormat="1" applyFont="1" applyFill="1"/>
    <xf numFmtId="10" fontId="10" fillId="5" borderId="0" xfId="2" applyNumberFormat="1" applyFont="1" applyFill="1"/>
    <xf numFmtId="0" fontId="2" fillId="7" borderId="0" xfId="0" applyFont="1" applyFill="1"/>
    <xf numFmtId="0" fontId="10" fillId="8" borderId="0" xfId="0" applyFont="1" applyFill="1"/>
    <xf numFmtId="0" fontId="0" fillId="0" borderId="4" xfId="2" applyNumberFormat="1" applyFont="1" applyBorder="1"/>
    <xf numFmtId="43" fontId="2" fillId="0" borderId="0" xfId="0" applyNumberFormat="1" applyFont="1"/>
    <xf numFmtId="165" fontId="2" fillId="11" borderId="0" xfId="1" applyNumberFormat="1" applyFont="1" applyFill="1"/>
    <xf numFmtId="165" fontId="2" fillId="11" borderId="0" xfId="0" applyNumberFormat="1" applyFont="1" applyFill="1"/>
    <xf numFmtId="43" fontId="2" fillId="11" borderId="0" xfId="0" applyNumberFormat="1" applyFont="1" applyFill="1"/>
    <xf numFmtId="0" fontId="2" fillId="11" borderId="0" xfId="0" applyFont="1" applyFill="1"/>
    <xf numFmtId="0" fontId="2" fillId="12" borderId="0" xfId="0" applyFont="1" applyFill="1"/>
    <xf numFmtId="0" fontId="2" fillId="7" borderId="4" xfId="0" applyFont="1" applyFill="1" applyBorder="1" applyAlignment="1">
      <alignment horizontal="left" vertical="top" wrapText="1"/>
    </xf>
    <xf numFmtId="0" fontId="2" fillId="0" borderId="4" xfId="0" applyFont="1" applyBorder="1"/>
    <xf numFmtId="165" fontId="0" fillId="0" borderId="4" xfId="1" applyNumberFormat="1" applyFont="1" applyBorder="1"/>
    <xf numFmtId="0" fontId="0" fillId="0" borderId="4" xfId="0" applyNumberFormat="1" applyBorder="1"/>
    <xf numFmtId="0" fontId="0" fillId="12" borderId="0" xfId="0" applyFill="1"/>
    <xf numFmtId="0" fontId="7" fillId="12" borderId="0" xfId="0" applyFont="1" applyFill="1" applyBorder="1" applyAlignment="1">
      <alignment vertical="top" wrapText="1"/>
    </xf>
    <xf numFmtId="0" fontId="5" fillId="12" borderId="0" xfId="0" applyFon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D566-900A-45CE-838C-6C5ABCFC178E}">
  <dimension ref="A1:L41"/>
  <sheetViews>
    <sheetView tabSelected="1" workbookViewId="0">
      <selection activeCell="B16" sqref="B16"/>
    </sheetView>
  </sheetViews>
  <sheetFormatPr defaultRowHeight="14.4" x14ac:dyDescent="0.3"/>
  <cols>
    <col min="1" max="1" width="45.33203125" customWidth="1"/>
    <col min="2" max="2" width="13.88671875" bestFit="1" customWidth="1"/>
    <col min="3" max="3" width="19.109375" customWidth="1"/>
    <col min="4" max="4" width="12.21875" customWidth="1"/>
  </cols>
  <sheetData>
    <row r="1" spans="1:12" ht="21" x14ac:dyDescent="0.4">
      <c r="A1" s="79" t="s">
        <v>137</v>
      </c>
      <c r="B1" s="79"/>
      <c r="C1" s="79"/>
      <c r="D1" s="79"/>
    </row>
    <row r="3" spans="1:12" ht="26.4" customHeight="1" x14ac:dyDescent="0.3">
      <c r="A3" s="77" t="s">
        <v>1</v>
      </c>
      <c r="B3" s="78">
        <v>2018</v>
      </c>
      <c r="C3" s="78">
        <v>2019</v>
      </c>
      <c r="D3" s="78">
        <v>2020</v>
      </c>
    </row>
    <row r="4" spans="1:12" x14ac:dyDescent="0.3">
      <c r="A4" s="2" t="s">
        <v>2</v>
      </c>
      <c r="B4" s="5"/>
      <c r="C4" s="5"/>
      <c r="D4" s="5"/>
    </row>
    <row r="5" spans="1:12" x14ac:dyDescent="0.3">
      <c r="A5" t="s">
        <v>3</v>
      </c>
      <c r="B5" s="5"/>
      <c r="C5" s="5"/>
      <c r="D5" s="5"/>
    </row>
    <row r="6" spans="1:12" x14ac:dyDescent="0.3">
      <c r="A6" t="s">
        <v>19</v>
      </c>
      <c r="B6" s="25">
        <v>3794483</v>
      </c>
      <c r="C6" s="27">
        <v>5018437</v>
      </c>
      <c r="D6" s="25">
        <v>8205550</v>
      </c>
      <c r="F6" s="113" t="s">
        <v>71</v>
      </c>
    </row>
    <row r="7" spans="1:12" x14ac:dyDescent="0.3">
      <c r="A7" t="s">
        <v>20</v>
      </c>
      <c r="B7" s="30">
        <v>5899652</v>
      </c>
      <c r="C7" s="27">
        <v>1160067</v>
      </c>
      <c r="D7" s="29">
        <v>1556030</v>
      </c>
    </row>
    <row r="8" spans="1:12" x14ac:dyDescent="0.3">
      <c r="A8" t="s">
        <v>5</v>
      </c>
      <c r="B8" s="88">
        <f>SUM(B6:B7)</f>
        <v>9694135</v>
      </c>
      <c r="C8" s="88">
        <f t="shared" ref="C8:D8" si="0">SUM(C6:C7)</f>
        <v>6178504</v>
      </c>
      <c r="D8" s="88">
        <f t="shared" si="0"/>
        <v>9761580</v>
      </c>
      <c r="F8" s="6"/>
      <c r="G8" s="9"/>
      <c r="H8" s="13"/>
      <c r="I8" s="13"/>
      <c r="J8" s="9"/>
      <c r="K8" s="7"/>
      <c r="L8" s="4"/>
    </row>
    <row r="9" spans="1:12" x14ac:dyDescent="0.3">
      <c r="A9" t="s">
        <v>21</v>
      </c>
      <c r="B9" s="25">
        <v>14951141</v>
      </c>
      <c r="C9" s="25">
        <v>24504567</v>
      </c>
      <c r="D9" s="25">
        <v>25383950</v>
      </c>
      <c r="F9" s="114" t="s">
        <v>72</v>
      </c>
      <c r="G9" s="9"/>
      <c r="H9" s="13"/>
      <c r="I9" s="13"/>
      <c r="J9" s="9"/>
      <c r="K9" s="7"/>
      <c r="L9" s="7"/>
    </row>
    <row r="10" spans="1:12" x14ac:dyDescent="0.3">
      <c r="A10" t="s">
        <v>22</v>
      </c>
      <c r="B10" s="25">
        <v>418281</v>
      </c>
      <c r="C10" s="25">
        <v>565221</v>
      </c>
      <c r="D10" s="25">
        <v>960183</v>
      </c>
      <c r="F10" s="114" t="s">
        <v>72</v>
      </c>
      <c r="G10" s="9"/>
      <c r="H10" s="13"/>
      <c r="I10" s="13"/>
      <c r="J10" s="9"/>
      <c r="K10" s="7"/>
      <c r="L10" s="7"/>
    </row>
    <row r="11" spans="1:12" x14ac:dyDescent="0.3">
      <c r="A11" t="s">
        <v>23</v>
      </c>
      <c r="B11" s="30">
        <v>910843</v>
      </c>
      <c r="C11" s="30">
        <v>2727420</v>
      </c>
      <c r="D11" s="30">
        <v>3174646</v>
      </c>
      <c r="F11" s="9"/>
      <c r="G11" s="9"/>
      <c r="H11" s="9"/>
      <c r="I11" s="13"/>
      <c r="J11" s="13"/>
      <c r="K11" s="13"/>
      <c r="L11" s="14"/>
    </row>
    <row r="12" spans="1:12" x14ac:dyDescent="0.3">
      <c r="A12" s="2" t="s">
        <v>6</v>
      </c>
      <c r="B12" s="91">
        <f>SUM(B8:B11)</f>
        <v>25974400</v>
      </c>
      <c r="C12" s="91">
        <f t="shared" ref="C12:D12" si="1">SUM(C8:C11)</f>
        <v>33975712</v>
      </c>
      <c r="D12" s="91">
        <f t="shared" si="1"/>
        <v>39280359</v>
      </c>
      <c r="F12" s="9"/>
      <c r="G12" s="9"/>
      <c r="H12" s="9"/>
      <c r="I12" s="13"/>
      <c r="J12" s="13"/>
      <c r="K12" s="13"/>
      <c r="L12" s="21"/>
    </row>
    <row r="13" spans="1:12" x14ac:dyDescent="0.3">
      <c r="F13" s="10"/>
      <c r="G13" s="10"/>
      <c r="H13" s="10"/>
      <c r="I13" s="10"/>
      <c r="J13" s="10"/>
      <c r="K13" s="10"/>
      <c r="L13" s="3"/>
    </row>
    <row r="14" spans="1:12" x14ac:dyDescent="0.3">
      <c r="A14" s="2" t="s">
        <v>7</v>
      </c>
      <c r="F14" s="11"/>
      <c r="G14" s="12"/>
      <c r="H14" s="12"/>
      <c r="I14" s="7"/>
      <c r="J14" s="7"/>
      <c r="K14" s="7"/>
    </row>
    <row r="15" spans="1:12" x14ac:dyDescent="0.3">
      <c r="A15" t="s">
        <v>8</v>
      </c>
      <c r="F15" s="8"/>
      <c r="G15" s="9"/>
      <c r="H15" s="13"/>
      <c r="I15" s="9"/>
      <c r="J15" s="14"/>
      <c r="K15" s="7"/>
    </row>
    <row r="16" spans="1:12" x14ac:dyDescent="0.3">
      <c r="A16" t="s">
        <v>28</v>
      </c>
      <c r="B16" s="25">
        <v>0</v>
      </c>
      <c r="C16" s="25">
        <v>4413561</v>
      </c>
      <c r="D16" s="25">
        <v>4429536</v>
      </c>
      <c r="F16" s="15"/>
      <c r="G16" s="9"/>
      <c r="H16" s="9"/>
      <c r="I16" s="9"/>
      <c r="J16" s="9"/>
      <c r="K16" s="7"/>
    </row>
    <row r="17" spans="1:11" ht="24" customHeight="1" x14ac:dyDescent="0.3">
      <c r="A17" t="s">
        <v>27</v>
      </c>
      <c r="B17" s="25">
        <v>562985</v>
      </c>
      <c r="C17" s="25">
        <v>674347</v>
      </c>
      <c r="D17" s="25">
        <v>656183</v>
      </c>
      <c r="F17" s="115" t="s">
        <v>65</v>
      </c>
      <c r="G17" s="9"/>
      <c r="H17" s="9"/>
      <c r="I17" s="9"/>
      <c r="J17" s="9"/>
      <c r="K17" s="7"/>
    </row>
    <row r="18" spans="1:11" x14ac:dyDescent="0.3">
      <c r="A18" t="s">
        <v>26</v>
      </c>
      <c r="B18" s="25">
        <v>481874</v>
      </c>
      <c r="C18" s="25">
        <v>843043</v>
      </c>
      <c r="D18" s="25">
        <v>1102196</v>
      </c>
      <c r="F18" s="6"/>
      <c r="G18" s="9"/>
      <c r="H18" s="13"/>
      <c r="I18" s="9"/>
      <c r="J18" s="13"/>
      <c r="K18" s="7"/>
    </row>
    <row r="19" spans="1:11" x14ac:dyDescent="0.3">
      <c r="A19" s="35" t="s">
        <v>25</v>
      </c>
      <c r="B19" s="60">
        <v>760899</v>
      </c>
      <c r="C19" s="60">
        <v>924745</v>
      </c>
      <c r="D19" s="60">
        <v>1117992</v>
      </c>
      <c r="F19" s="6"/>
      <c r="G19" s="9"/>
      <c r="H19" s="16"/>
      <c r="I19" s="9"/>
      <c r="J19" s="17"/>
      <c r="K19" s="7"/>
    </row>
    <row r="20" spans="1:11" x14ac:dyDescent="0.3">
      <c r="A20" t="s">
        <v>24</v>
      </c>
      <c r="B20" s="30"/>
      <c r="C20" s="30"/>
      <c r="D20" s="30">
        <v>499878</v>
      </c>
      <c r="F20" s="7"/>
      <c r="G20" s="11"/>
      <c r="H20" s="12"/>
      <c r="I20" s="12"/>
      <c r="J20" s="7"/>
      <c r="K20" s="7"/>
    </row>
    <row r="21" spans="1:11" x14ac:dyDescent="0.3">
      <c r="A21" t="s">
        <v>13</v>
      </c>
      <c r="B21" s="31">
        <f>SUM(B16:B20)</f>
        <v>1805758</v>
      </c>
      <c r="C21" s="31">
        <f t="shared" ref="C21:D21" si="2">SUM(C16:C20)</f>
        <v>6855696</v>
      </c>
      <c r="D21" s="31">
        <f t="shared" si="2"/>
        <v>7805785</v>
      </c>
      <c r="F21" s="6"/>
      <c r="G21" s="9"/>
      <c r="H21" s="13"/>
      <c r="I21" s="9"/>
      <c r="J21" s="17"/>
      <c r="K21" s="7"/>
    </row>
    <row r="22" spans="1:11" x14ac:dyDescent="0.3">
      <c r="A22" t="s">
        <v>14</v>
      </c>
      <c r="B22" s="32">
        <v>3759026</v>
      </c>
      <c r="C22" s="32">
        <v>3334323</v>
      </c>
      <c r="D22" s="32">
        <v>2618084</v>
      </c>
      <c r="F22" s="6"/>
      <c r="G22" s="9"/>
      <c r="H22" s="16"/>
      <c r="I22" s="9"/>
      <c r="J22" s="18"/>
      <c r="K22" s="7"/>
    </row>
    <row r="23" spans="1:11" x14ac:dyDescent="0.3">
      <c r="A23" t="s">
        <v>29</v>
      </c>
      <c r="B23" s="32">
        <v>10360058</v>
      </c>
      <c r="C23" s="32">
        <v>14759260</v>
      </c>
      <c r="D23" s="32">
        <v>15809095</v>
      </c>
      <c r="F23" s="8"/>
      <c r="G23" s="9"/>
      <c r="H23" s="13"/>
      <c r="I23" s="9"/>
      <c r="J23" s="13"/>
      <c r="K23" s="7"/>
    </row>
    <row r="24" spans="1:11" x14ac:dyDescent="0.3">
      <c r="A24" t="s">
        <v>30</v>
      </c>
      <c r="B24" s="26">
        <v>129231</v>
      </c>
      <c r="C24" s="26">
        <v>1444276</v>
      </c>
      <c r="D24" s="26">
        <v>1982155</v>
      </c>
      <c r="F24" s="9"/>
      <c r="G24" s="9"/>
      <c r="H24" s="13"/>
      <c r="I24" s="9"/>
      <c r="J24" s="13"/>
      <c r="K24" s="7"/>
    </row>
    <row r="25" spans="1:11" x14ac:dyDescent="0.3">
      <c r="A25" s="2" t="s">
        <v>15</v>
      </c>
      <c r="B25" s="89">
        <f>SUM(B21:B24)</f>
        <v>16054073</v>
      </c>
      <c r="C25" s="89">
        <f t="shared" ref="C25:D25" si="3">SUM(C21:C24)</f>
        <v>26393555</v>
      </c>
      <c r="D25" s="89">
        <f t="shared" si="3"/>
        <v>28215119</v>
      </c>
      <c r="F25" s="9"/>
      <c r="G25" s="9"/>
      <c r="H25" s="13"/>
      <c r="I25" s="9"/>
      <c r="J25" s="14"/>
      <c r="K25" s="7"/>
    </row>
    <row r="26" spans="1:11" x14ac:dyDescent="0.3">
      <c r="A26" t="s">
        <v>16</v>
      </c>
      <c r="B26" s="23"/>
      <c r="C26" s="23"/>
      <c r="D26" s="23"/>
      <c r="F26" s="9"/>
      <c r="G26" s="9"/>
      <c r="H26" s="13"/>
      <c r="I26" s="9"/>
      <c r="J26" s="13"/>
      <c r="K26" s="7"/>
    </row>
    <row r="27" spans="1:11" x14ac:dyDescent="0.3">
      <c r="A27" t="s">
        <v>31</v>
      </c>
      <c r="B27" s="25">
        <v>2315988</v>
      </c>
      <c r="C27" s="25">
        <v>2793929</v>
      </c>
      <c r="D27" s="25">
        <v>3447698</v>
      </c>
      <c r="F27" s="8"/>
      <c r="G27" s="9"/>
      <c r="H27" s="13"/>
      <c r="I27" s="9"/>
      <c r="J27" s="14"/>
      <c r="K27" s="7"/>
    </row>
    <row r="28" spans="1:11" x14ac:dyDescent="0.3">
      <c r="A28" t="s">
        <v>32</v>
      </c>
      <c r="B28" s="25"/>
      <c r="C28" s="25"/>
      <c r="D28" s="25"/>
      <c r="F28" s="9"/>
      <c r="G28" s="9"/>
      <c r="H28" s="9"/>
      <c r="I28" s="9"/>
      <c r="J28" s="9"/>
      <c r="K28" s="7"/>
    </row>
    <row r="29" spans="1:11" x14ac:dyDescent="0.3">
      <c r="A29" t="s">
        <v>35</v>
      </c>
      <c r="B29" s="25">
        <v>-19582</v>
      </c>
      <c r="C29" s="25">
        <v>-23521</v>
      </c>
      <c r="D29" s="25">
        <v>44398</v>
      </c>
      <c r="F29" s="9"/>
      <c r="G29" s="9"/>
      <c r="H29" s="9"/>
      <c r="I29" s="9"/>
      <c r="J29" s="9"/>
      <c r="K29" s="7"/>
    </row>
    <row r="30" spans="1:11" x14ac:dyDescent="0.3">
      <c r="A30" t="s">
        <v>33</v>
      </c>
      <c r="B30" s="30">
        <v>2942359</v>
      </c>
      <c r="C30" s="30">
        <v>4811749</v>
      </c>
      <c r="D30" s="30">
        <v>7573144</v>
      </c>
      <c r="F30" s="9"/>
      <c r="G30" s="9"/>
      <c r="H30" s="8"/>
      <c r="I30" s="9"/>
      <c r="J30" s="18"/>
      <c r="K30" s="7"/>
    </row>
    <row r="31" spans="1:11" x14ac:dyDescent="0.3">
      <c r="A31" s="2" t="s">
        <v>17</v>
      </c>
      <c r="B31" s="90">
        <f>SUM(B27:B30)</f>
        <v>5238765</v>
      </c>
      <c r="C31" s="90">
        <f t="shared" ref="C31:D31" si="4">SUM(C27:C30)</f>
        <v>7582157</v>
      </c>
      <c r="D31" s="90">
        <f t="shared" si="4"/>
        <v>11065240</v>
      </c>
      <c r="F31" s="9"/>
      <c r="G31" s="9"/>
      <c r="H31" s="8"/>
      <c r="I31" s="9"/>
      <c r="J31" s="18"/>
      <c r="K31" s="7"/>
    </row>
    <row r="32" spans="1:11" x14ac:dyDescent="0.3">
      <c r="A32" s="2" t="s">
        <v>18</v>
      </c>
      <c r="B32" s="92">
        <f>SUM(B25+B31)</f>
        <v>21292838</v>
      </c>
      <c r="C32" s="92">
        <f t="shared" ref="C32:D32" si="5">SUM(C25+C31)</f>
        <v>33975712</v>
      </c>
      <c r="D32" s="92">
        <f t="shared" si="5"/>
        <v>39280359</v>
      </c>
      <c r="F32" s="6"/>
      <c r="G32" s="9"/>
      <c r="H32" s="13"/>
      <c r="I32" s="9"/>
      <c r="J32" s="13"/>
      <c r="K32" s="7"/>
    </row>
    <row r="33" spans="6:11" x14ac:dyDescent="0.3">
      <c r="F33" s="6"/>
      <c r="G33" s="9"/>
      <c r="H33" s="19"/>
      <c r="I33" s="9"/>
      <c r="J33" s="17"/>
      <c r="K33" s="7"/>
    </row>
    <row r="34" spans="6:11" x14ac:dyDescent="0.3">
      <c r="F34" s="6"/>
      <c r="G34" s="9"/>
      <c r="H34" s="13"/>
      <c r="I34" s="9"/>
      <c r="J34" s="13"/>
      <c r="K34" s="7"/>
    </row>
    <row r="35" spans="6:11" x14ac:dyDescent="0.3">
      <c r="F35" s="8"/>
      <c r="G35" s="9"/>
      <c r="H35" s="13"/>
      <c r="I35" s="9"/>
      <c r="J35" s="13"/>
      <c r="K35" s="7"/>
    </row>
    <row r="36" spans="6:11" x14ac:dyDescent="0.3">
      <c r="F36" s="8"/>
      <c r="G36" s="9"/>
      <c r="H36" s="13"/>
      <c r="I36" s="9"/>
      <c r="J36" s="14"/>
      <c r="K36" s="7"/>
    </row>
    <row r="37" spans="6:11" x14ac:dyDescent="0.3">
      <c r="F37" s="7"/>
      <c r="G37" s="7"/>
      <c r="H37" s="7"/>
      <c r="I37" s="7"/>
      <c r="J37" s="7"/>
      <c r="K37" s="7"/>
    </row>
    <row r="38" spans="6:11" x14ac:dyDescent="0.3">
      <c r="F38" s="7"/>
      <c r="G38" s="7"/>
      <c r="H38" s="7"/>
      <c r="I38" s="7"/>
      <c r="J38" s="7"/>
      <c r="K38" s="7"/>
    </row>
    <row r="39" spans="6:11" x14ac:dyDescent="0.3">
      <c r="F39" s="7"/>
      <c r="G39" s="7"/>
      <c r="H39" s="7"/>
      <c r="I39" s="7"/>
      <c r="J39" s="7"/>
      <c r="K39" s="7"/>
    </row>
    <row r="40" spans="6:11" x14ac:dyDescent="0.3">
      <c r="F40" s="7"/>
      <c r="G40" s="7"/>
      <c r="H40" s="7"/>
      <c r="I40" s="7"/>
      <c r="J40" s="7"/>
      <c r="K40" s="7"/>
    </row>
    <row r="41" spans="6:11" x14ac:dyDescent="0.3">
      <c r="F41" s="7"/>
      <c r="G41" s="7"/>
      <c r="H41" s="7"/>
      <c r="I41" s="7"/>
      <c r="J41" s="7"/>
      <c r="K41" s="7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AA8C-CFFF-4FBA-8754-E71540C78D86}">
  <dimension ref="A1:D16"/>
  <sheetViews>
    <sheetView workbookViewId="0">
      <selection activeCell="A15" sqref="A15:D15"/>
    </sheetView>
  </sheetViews>
  <sheetFormatPr defaultRowHeight="14.4" x14ac:dyDescent="0.3"/>
  <cols>
    <col min="1" max="1" width="35" bestFit="1" customWidth="1"/>
    <col min="2" max="2" width="13.88671875" bestFit="1" customWidth="1"/>
    <col min="3" max="4" width="11.21875" bestFit="1" customWidth="1"/>
  </cols>
  <sheetData>
    <row r="1" spans="1:4" ht="27" customHeight="1" x14ac:dyDescent="0.3">
      <c r="A1" s="80" t="s">
        <v>36</v>
      </c>
      <c r="B1" s="80"/>
      <c r="C1" s="80"/>
      <c r="D1" s="80"/>
    </row>
    <row r="2" spans="1:4" ht="27" customHeight="1" x14ac:dyDescent="0.3">
      <c r="A2" s="1"/>
    </row>
    <row r="3" spans="1:4" ht="27.6" customHeight="1" x14ac:dyDescent="0.3">
      <c r="A3" s="74" t="s">
        <v>1</v>
      </c>
      <c r="B3" s="81">
        <v>2018</v>
      </c>
      <c r="C3" s="81">
        <v>2019</v>
      </c>
      <c r="D3" s="81">
        <v>2020</v>
      </c>
    </row>
    <row r="4" spans="1:4" x14ac:dyDescent="0.3">
      <c r="A4" t="s">
        <v>37</v>
      </c>
      <c r="B4" s="23">
        <v>15794341</v>
      </c>
      <c r="C4" s="23">
        <v>20156447</v>
      </c>
      <c r="D4" s="23">
        <v>24996056</v>
      </c>
    </row>
    <row r="5" spans="1:4" x14ac:dyDescent="0.3">
      <c r="A5" t="s">
        <v>39</v>
      </c>
      <c r="B5" s="23">
        <v>9967538</v>
      </c>
      <c r="C5" s="23">
        <v>12440213</v>
      </c>
      <c r="D5" s="23">
        <v>15276319</v>
      </c>
    </row>
    <row r="6" spans="1:4" x14ac:dyDescent="0.3">
      <c r="A6" t="s">
        <v>40</v>
      </c>
      <c r="B6" s="23">
        <v>2369469</v>
      </c>
      <c r="C6" s="23">
        <v>2652462</v>
      </c>
      <c r="D6" s="23">
        <v>2228362</v>
      </c>
    </row>
    <row r="7" spans="1:4" x14ac:dyDescent="0.3">
      <c r="A7" t="s">
        <v>41</v>
      </c>
      <c r="B7" s="23">
        <v>1221814</v>
      </c>
      <c r="C7" s="23">
        <v>1545149</v>
      </c>
      <c r="D7" s="23">
        <v>1829600</v>
      </c>
    </row>
    <row r="8" spans="1:4" x14ac:dyDescent="0.3">
      <c r="A8" t="s">
        <v>42</v>
      </c>
      <c r="B8" s="23">
        <v>630294</v>
      </c>
      <c r="C8" s="23">
        <v>914369</v>
      </c>
      <c r="D8" s="23">
        <v>1076486</v>
      </c>
    </row>
    <row r="9" spans="1:4" x14ac:dyDescent="0.3">
      <c r="A9" t="s">
        <v>38</v>
      </c>
      <c r="B9" s="23">
        <v>1605226</v>
      </c>
      <c r="C9" s="23">
        <v>2604254</v>
      </c>
      <c r="D9" s="23">
        <v>4585289</v>
      </c>
    </row>
    <row r="10" spans="1:4" x14ac:dyDescent="0.3">
      <c r="A10" t="s">
        <v>43</v>
      </c>
      <c r="B10" s="23"/>
      <c r="C10" s="23"/>
      <c r="D10" s="23"/>
    </row>
    <row r="11" spans="1:4" x14ac:dyDescent="0.3">
      <c r="A11" t="s">
        <v>44</v>
      </c>
      <c r="B11" s="23">
        <v>-420493</v>
      </c>
      <c r="C11" s="23">
        <v>-626023</v>
      </c>
      <c r="D11" s="23">
        <v>-767499</v>
      </c>
    </row>
    <row r="12" spans="1:4" x14ac:dyDescent="0.3">
      <c r="A12" t="s">
        <v>45</v>
      </c>
      <c r="B12" s="23">
        <v>41725</v>
      </c>
      <c r="C12" s="23">
        <v>84000</v>
      </c>
      <c r="D12" s="23">
        <v>-618441</v>
      </c>
    </row>
    <row r="13" spans="1:4" x14ac:dyDescent="0.3">
      <c r="A13" t="s">
        <v>46</v>
      </c>
      <c r="B13" s="23">
        <v>1226458</v>
      </c>
      <c r="C13" s="23">
        <v>2062231</v>
      </c>
      <c r="D13" s="23">
        <v>3199349</v>
      </c>
    </row>
    <row r="14" spans="1:4" x14ac:dyDescent="0.3">
      <c r="A14" t="s">
        <v>47</v>
      </c>
      <c r="B14" s="23">
        <v>-15216</v>
      </c>
      <c r="C14" s="23">
        <v>-195315</v>
      </c>
      <c r="D14" s="23">
        <v>-437954</v>
      </c>
    </row>
    <row r="15" spans="1:4" x14ac:dyDescent="0.3">
      <c r="A15" s="87" t="s">
        <v>48</v>
      </c>
      <c r="B15" s="93">
        <v>1211242</v>
      </c>
      <c r="C15" s="93">
        <v>1866916</v>
      </c>
      <c r="D15" s="93">
        <v>2761395</v>
      </c>
    </row>
    <row r="16" spans="1:4" x14ac:dyDescent="0.3">
      <c r="B16" s="23"/>
      <c r="C16" s="23"/>
      <c r="D16" s="2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F03B-7A36-42F6-96FF-367540849F05}">
  <dimension ref="A1:K34"/>
  <sheetViews>
    <sheetView workbookViewId="0">
      <selection activeCell="A2" sqref="A2:H2"/>
    </sheetView>
  </sheetViews>
  <sheetFormatPr defaultRowHeight="14.4" x14ac:dyDescent="0.3"/>
  <cols>
    <col min="1" max="1" width="34.109375" bestFit="1" customWidth="1"/>
    <col min="2" max="2" width="18" bestFit="1" customWidth="1"/>
    <col min="3" max="4" width="13.88671875" bestFit="1" customWidth="1"/>
    <col min="5" max="5" width="20.21875" bestFit="1" customWidth="1"/>
    <col min="6" max="6" width="14.5546875" customWidth="1"/>
    <col min="7" max="7" width="15.21875" customWidth="1"/>
    <col min="8" max="8" width="13.6640625" customWidth="1"/>
    <col min="9" max="9" width="12.5546875" customWidth="1"/>
  </cols>
  <sheetData>
    <row r="1" spans="1:11" ht="21" x14ac:dyDescent="0.4">
      <c r="A1" s="79" t="s">
        <v>49</v>
      </c>
      <c r="B1" s="79"/>
      <c r="C1" s="79"/>
      <c r="D1" s="79"/>
      <c r="E1" s="79"/>
      <c r="F1" s="79"/>
      <c r="G1" s="79"/>
      <c r="H1" s="79"/>
    </row>
    <row r="2" spans="1:11" ht="36.6" customHeight="1" x14ac:dyDescent="0.3">
      <c r="A2" s="74" t="s">
        <v>1</v>
      </c>
      <c r="B2" s="81">
        <v>2018</v>
      </c>
      <c r="C2" s="81">
        <v>2019</v>
      </c>
      <c r="D2" s="81">
        <v>2020</v>
      </c>
      <c r="E2" s="75" t="s">
        <v>61</v>
      </c>
      <c r="F2" s="75" t="s">
        <v>62</v>
      </c>
      <c r="G2" s="75" t="s">
        <v>63</v>
      </c>
      <c r="H2" s="75" t="s">
        <v>64</v>
      </c>
      <c r="I2" s="49"/>
      <c r="J2" s="39"/>
    </row>
    <row r="3" spans="1:11" x14ac:dyDescent="0.3">
      <c r="A3" t="s">
        <v>50</v>
      </c>
      <c r="B3" s="24">
        <f>B4+B10+B17+B24+B31</f>
        <v>15794341</v>
      </c>
      <c r="C3" s="24">
        <f t="shared" ref="C3:H3" si="0">C4+C10+C17+C24+C31</f>
        <v>20156447</v>
      </c>
      <c r="D3" s="24">
        <f t="shared" si="0"/>
        <v>24995956</v>
      </c>
      <c r="E3" s="24">
        <f t="shared" si="0"/>
        <v>28644185.876945671</v>
      </c>
      <c r="F3" s="24">
        <f t="shared" si="0"/>
        <v>33612321.729828678</v>
      </c>
      <c r="G3" s="24">
        <f t="shared" si="0"/>
        <v>38290668.220688149</v>
      </c>
      <c r="H3" s="24">
        <f t="shared" si="0"/>
        <v>42970088.483801767</v>
      </c>
      <c r="I3" s="20"/>
    </row>
    <row r="4" spans="1:11" x14ac:dyDescent="0.3">
      <c r="A4" s="35" t="s">
        <v>51</v>
      </c>
      <c r="B4" s="23">
        <v>365589</v>
      </c>
      <c r="C4" s="23">
        <v>297217</v>
      </c>
      <c r="D4" s="23">
        <v>239281</v>
      </c>
      <c r="E4" s="24">
        <f>D4*(1+E5)</f>
        <v>193584.66507042624</v>
      </c>
      <c r="F4" s="24">
        <f t="shared" ref="F4:H4" si="1">E4*(1+F5)</f>
        <v>156615.12009072641</v>
      </c>
      <c r="G4" s="24">
        <f t="shared" si="1"/>
        <v>126705.77926257353</v>
      </c>
      <c r="H4" s="24">
        <f t="shared" si="1"/>
        <v>102508.33054455914</v>
      </c>
      <c r="I4" s="20"/>
    </row>
    <row r="5" spans="1:11" x14ac:dyDescent="0.3">
      <c r="A5" t="s">
        <v>52</v>
      </c>
      <c r="B5" s="23"/>
      <c r="C5" s="41">
        <f>C4/B4-1</f>
        <v>-0.18701875603478224</v>
      </c>
      <c r="D5" s="41">
        <f>D4/C4-1</f>
        <v>-0.19492828472126422</v>
      </c>
      <c r="E5" s="41">
        <f>AVERAGE($C$5:$D$5)</f>
        <v>-0.19097352037802323</v>
      </c>
      <c r="F5" s="41">
        <f t="shared" ref="F5:H5" si="2">AVERAGE($C$5:$D$5)</f>
        <v>-0.19097352037802323</v>
      </c>
      <c r="G5" s="41">
        <f t="shared" si="2"/>
        <v>-0.19097352037802323</v>
      </c>
      <c r="H5" s="41">
        <f t="shared" si="2"/>
        <v>-0.19097352037802323</v>
      </c>
      <c r="I5" s="20"/>
    </row>
    <row r="6" spans="1:11" x14ac:dyDescent="0.3">
      <c r="A6" s="2" t="s">
        <v>53</v>
      </c>
      <c r="B6" s="23">
        <f>B3+B4</f>
        <v>16159930</v>
      </c>
      <c r="C6" s="23">
        <f t="shared" ref="C6:H6" si="3">C3+C4</f>
        <v>20453664</v>
      </c>
      <c r="D6" s="23">
        <f t="shared" si="3"/>
        <v>25235237</v>
      </c>
      <c r="E6" s="23">
        <f t="shared" si="3"/>
        <v>28837770.542016096</v>
      </c>
      <c r="F6" s="23">
        <f t="shared" si="3"/>
        <v>33768936.849919401</v>
      </c>
      <c r="G6" s="23">
        <f t="shared" si="3"/>
        <v>38417373.999950722</v>
      </c>
      <c r="H6" s="23">
        <f t="shared" si="3"/>
        <v>43072596.814346328</v>
      </c>
      <c r="I6" s="20"/>
    </row>
    <row r="7" spans="1:11" x14ac:dyDescent="0.3">
      <c r="B7" s="23"/>
      <c r="C7" s="23"/>
      <c r="D7" s="23"/>
      <c r="I7" s="20"/>
    </row>
    <row r="8" spans="1:11" x14ac:dyDescent="0.3">
      <c r="B8" s="23"/>
      <c r="C8" s="23"/>
      <c r="D8" s="23"/>
      <c r="I8" s="20"/>
    </row>
    <row r="9" spans="1:11" x14ac:dyDescent="0.3">
      <c r="A9" s="2" t="s">
        <v>54</v>
      </c>
      <c r="B9" s="23"/>
      <c r="C9" s="23"/>
      <c r="D9" s="23"/>
      <c r="I9" s="72" t="s">
        <v>60</v>
      </c>
      <c r="J9" s="72"/>
      <c r="K9" s="72"/>
    </row>
    <row r="10" spans="1:11" x14ac:dyDescent="0.3">
      <c r="A10" t="s">
        <v>37</v>
      </c>
      <c r="B10" s="23">
        <v>8281532</v>
      </c>
      <c r="C10" s="23">
        <v>10051208</v>
      </c>
      <c r="D10" s="23">
        <v>11455396</v>
      </c>
      <c r="E10" s="22">
        <f>E12*E11</f>
        <v>11434119.486583754</v>
      </c>
      <c r="F10" s="22">
        <f t="shared" ref="F10:H10" si="4">F12*F11</f>
        <v>12303513.97676442</v>
      </c>
      <c r="G10" s="22">
        <f t="shared" si="4"/>
        <v>13242114.61506794</v>
      </c>
      <c r="H10" s="22">
        <f t="shared" si="4"/>
        <v>14250649.337736914</v>
      </c>
      <c r="I10" s="37">
        <v>2018</v>
      </c>
      <c r="J10" s="37">
        <v>2019</v>
      </c>
      <c r="K10" s="37">
        <v>2020</v>
      </c>
    </row>
    <row r="11" spans="1:11" x14ac:dyDescent="0.3">
      <c r="A11" t="s">
        <v>55</v>
      </c>
      <c r="B11" s="36">
        <f>I11*12</f>
        <v>133.92000000000002</v>
      </c>
      <c r="C11" s="36">
        <f t="shared" ref="C11:D11" si="5">J11*12</f>
        <v>150.84</v>
      </c>
      <c r="D11" s="36">
        <f t="shared" si="5"/>
        <v>159.84</v>
      </c>
      <c r="E11" s="44">
        <f>AVERAGE($B$11:$D$11)</f>
        <v>148.20000000000002</v>
      </c>
      <c r="F11" s="44">
        <f t="shared" ref="F11:H11" si="6">AVERAGE($B$11:$D$11)</f>
        <v>148.20000000000002</v>
      </c>
      <c r="G11" s="44">
        <f t="shared" si="6"/>
        <v>148.20000000000002</v>
      </c>
      <c r="H11" s="44">
        <f t="shared" si="6"/>
        <v>148.20000000000002</v>
      </c>
      <c r="I11" s="38">
        <v>11.16</v>
      </c>
      <c r="J11" s="38">
        <v>12.57</v>
      </c>
      <c r="K11" s="38">
        <v>13.32</v>
      </c>
    </row>
    <row r="12" spans="1:11" x14ac:dyDescent="0.3">
      <c r="A12" t="s">
        <v>56</v>
      </c>
      <c r="B12" s="22">
        <f>B10/B11</f>
        <v>61839.396654719225</v>
      </c>
      <c r="C12" s="22">
        <f t="shared" ref="C12:D12" si="7">C10/C11</f>
        <v>66634.897905064965</v>
      </c>
      <c r="D12" s="22">
        <f t="shared" si="7"/>
        <v>71667.892892892894</v>
      </c>
      <c r="E12" s="43">
        <f>D12*(1+E13)</f>
        <v>77153.302878432878</v>
      </c>
      <c r="F12" s="43">
        <f>E12*(1+F13)</f>
        <v>83019.662461298372</v>
      </c>
      <c r="G12" s="43">
        <f t="shared" ref="G12:H12" si="8">F12*(1+G13)</f>
        <v>89353.000101672995</v>
      </c>
      <c r="H12" s="43">
        <f t="shared" si="8"/>
        <v>96158.22765004664</v>
      </c>
    </row>
    <row r="13" spans="1:11" x14ac:dyDescent="0.3">
      <c r="A13" t="s">
        <v>52</v>
      </c>
      <c r="B13" s="23"/>
      <c r="C13" s="41">
        <f>C12/B12-1</f>
        <v>7.7547672030525483E-2</v>
      </c>
      <c r="D13" s="41">
        <f>D12/C12-1</f>
        <v>7.5530917673175768E-2</v>
      </c>
      <c r="E13" s="42">
        <f>AVERAGE(C13:D13)</f>
        <v>7.6539294851850626E-2</v>
      </c>
      <c r="F13" s="42">
        <f t="shared" ref="F13:H13" si="9">AVERAGE(D13:E13)</f>
        <v>7.6035106262513197E-2</v>
      </c>
      <c r="G13" s="42">
        <f t="shared" si="9"/>
        <v>7.6287200557181911E-2</v>
      </c>
      <c r="H13" s="42">
        <f t="shared" si="9"/>
        <v>7.6161153409847554E-2</v>
      </c>
    </row>
    <row r="14" spans="1:11" x14ac:dyDescent="0.3">
      <c r="B14" s="23"/>
      <c r="C14" s="23"/>
      <c r="D14" s="23"/>
    </row>
    <row r="15" spans="1:11" x14ac:dyDescent="0.3">
      <c r="B15" s="23"/>
      <c r="C15" s="23"/>
      <c r="D15" s="23"/>
    </row>
    <row r="16" spans="1:11" x14ac:dyDescent="0.3">
      <c r="A16" s="2" t="s">
        <v>57</v>
      </c>
      <c r="B16" s="23"/>
      <c r="C16" s="23"/>
      <c r="D16" s="23"/>
      <c r="I16" s="72" t="s">
        <v>60</v>
      </c>
      <c r="J16" s="72"/>
      <c r="K16" s="72"/>
    </row>
    <row r="17" spans="1:11" x14ac:dyDescent="0.3">
      <c r="A17" t="s">
        <v>37</v>
      </c>
      <c r="B17" s="23">
        <v>3963707</v>
      </c>
      <c r="C17" s="23">
        <v>5543067</v>
      </c>
      <c r="D17" s="23">
        <v>7772252</v>
      </c>
      <c r="E17" s="22">
        <f>E19*E18</f>
        <v>9981422.5905182417</v>
      </c>
      <c r="F17" s="22">
        <f t="shared" ref="F17" si="10">F19*F18</f>
        <v>12088960.093988623</v>
      </c>
      <c r="G17" s="22">
        <f t="shared" ref="G17" si="11">G19*G18</f>
        <v>13432599.712150544</v>
      </c>
      <c r="H17" s="22">
        <f t="shared" ref="H17" si="12">H19*H18</f>
        <v>14656927.511689028</v>
      </c>
      <c r="I17" s="37">
        <v>2018</v>
      </c>
      <c r="J17" s="37">
        <v>2019</v>
      </c>
      <c r="K17" s="37">
        <v>2020</v>
      </c>
    </row>
    <row r="18" spans="1:11" x14ac:dyDescent="0.3">
      <c r="A18" t="s">
        <v>55</v>
      </c>
      <c r="B18" s="36">
        <f>I18*12</f>
        <v>125.39999999999999</v>
      </c>
      <c r="C18" s="36">
        <f t="shared" ref="C18" si="13">J18*12</f>
        <v>123.96000000000001</v>
      </c>
      <c r="D18" s="36">
        <f t="shared" ref="D18" si="14">K18*12</f>
        <v>128.64000000000001</v>
      </c>
      <c r="E18" s="44">
        <f>AVERAGE($B$18:$D$18)</f>
        <v>126</v>
      </c>
      <c r="F18" s="44">
        <f t="shared" ref="F18:H18" si="15">AVERAGE($B$18:$D$18)</f>
        <v>126</v>
      </c>
      <c r="G18" s="44">
        <f t="shared" si="15"/>
        <v>126</v>
      </c>
      <c r="H18" s="44">
        <f t="shared" si="15"/>
        <v>126</v>
      </c>
      <c r="I18" s="38">
        <v>10.45</v>
      </c>
      <c r="J18" s="38">
        <v>10.33</v>
      </c>
      <c r="K18" s="38">
        <v>10.72</v>
      </c>
    </row>
    <row r="19" spans="1:11" x14ac:dyDescent="0.3">
      <c r="A19" t="s">
        <v>56</v>
      </c>
      <c r="B19" s="22">
        <f>B17/B18</f>
        <v>31608.508771929828</v>
      </c>
      <c r="C19" s="22">
        <f t="shared" ref="C19" si="16">C17/C18</f>
        <v>44716.577928363986</v>
      </c>
      <c r="D19" s="22">
        <f>D17/D18</f>
        <v>60418.62562189054</v>
      </c>
      <c r="E19" s="43">
        <f>D19*(1+E20)</f>
        <v>79217.639607287638</v>
      </c>
      <c r="F19" s="43">
        <f t="shared" ref="F19" si="17">E19*(1+F20)</f>
        <v>95944.127730068445</v>
      </c>
      <c r="G19" s="43">
        <f t="shared" ref="G19" si="18">F19*(1+G20)</f>
        <v>106607.93422341702</v>
      </c>
      <c r="H19" s="43">
        <f t="shared" ref="H19" si="19">G19*(1+H20)</f>
        <v>116324.8215213415</v>
      </c>
    </row>
    <row r="20" spans="1:11" x14ac:dyDescent="0.3">
      <c r="A20" t="s">
        <v>52</v>
      </c>
      <c r="B20" s="23"/>
      <c r="C20" s="41">
        <f>C19/B19-1</f>
        <v>0.41470065073347828</v>
      </c>
      <c r="D20" s="47">
        <f>D19/C19-1</f>
        <v>0.35114600492643366</v>
      </c>
      <c r="E20" s="48">
        <f>D20-4%</f>
        <v>0.31114600492643368</v>
      </c>
      <c r="F20" s="48">
        <f>E20-10%</f>
        <v>0.21114600492643368</v>
      </c>
      <c r="G20" s="48">
        <f>F20-10%</f>
        <v>0.11114600492643367</v>
      </c>
      <c r="H20" s="48">
        <f>G20-2%</f>
        <v>9.1146004926433669E-2</v>
      </c>
    </row>
    <row r="21" spans="1:11" x14ac:dyDescent="0.3">
      <c r="B21" s="23"/>
      <c r="C21" s="23"/>
      <c r="D21" s="23"/>
    </row>
    <row r="22" spans="1:11" x14ac:dyDescent="0.3">
      <c r="B22" s="23"/>
      <c r="C22" s="23"/>
      <c r="D22" s="23"/>
    </row>
    <row r="23" spans="1:11" x14ac:dyDescent="0.3">
      <c r="A23" s="2" t="s">
        <v>58</v>
      </c>
      <c r="B23" s="23"/>
      <c r="C23" s="23"/>
      <c r="D23" s="23"/>
      <c r="I23" s="52"/>
      <c r="J23" s="40" t="s">
        <v>60</v>
      </c>
      <c r="K23" s="40"/>
    </row>
    <row r="24" spans="1:11" x14ac:dyDescent="0.3">
      <c r="A24" t="s">
        <v>37</v>
      </c>
      <c r="B24" s="23">
        <v>2237697</v>
      </c>
      <c r="C24" s="23">
        <v>2795434</v>
      </c>
      <c r="D24" s="23">
        <v>3156727</v>
      </c>
      <c r="E24" s="22">
        <f>E26*E25</f>
        <v>3842573.7972810525</v>
      </c>
      <c r="F24" s="22">
        <f t="shared" ref="F24" si="20">F26*F25</f>
        <v>4429558.4850562159</v>
      </c>
      <c r="G24" s="22">
        <f t="shared" ref="G24" si="21">G26*G25</f>
        <v>4995470.9397932496</v>
      </c>
      <c r="H24" s="22">
        <f t="shared" ref="H24" si="22">H26*H25</f>
        <v>5508796.582195675</v>
      </c>
      <c r="I24" s="37">
        <v>2018</v>
      </c>
      <c r="J24" s="37">
        <v>2019</v>
      </c>
      <c r="K24" s="37">
        <v>2020</v>
      </c>
    </row>
    <row r="25" spans="1:11" x14ac:dyDescent="0.3">
      <c r="A25" t="s">
        <v>55</v>
      </c>
      <c r="B25" s="36">
        <f>I25*12</f>
        <v>111.96000000000001</v>
      </c>
      <c r="C25" s="36">
        <f t="shared" ref="C25" si="23">J25*12</f>
        <v>110.88</v>
      </c>
      <c r="D25" s="36">
        <f t="shared" ref="D25" si="24">K25*12</f>
        <v>109.44</v>
      </c>
      <c r="E25" s="44">
        <f>AVERAGE(($B$25:$D$25))</f>
        <v>110.75999999999999</v>
      </c>
      <c r="F25" s="44">
        <f t="shared" ref="F25:H25" si="25">AVERAGE(($B$25:$D$25))</f>
        <v>110.75999999999999</v>
      </c>
      <c r="G25" s="44">
        <f t="shared" si="25"/>
        <v>110.75999999999999</v>
      </c>
      <c r="H25" s="44">
        <f t="shared" si="25"/>
        <v>110.75999999999999</v>
      </c>
      <c r="I25" s="38">
        <v>9.33</v>
      </c>
      <c r="J25" s="38">
        <v>9.24</v>
      </c>
      <c r="K25" s="38">
        <v>9.1199999999999992</v>
      </c>
    </row>
    <row r="26" spans="1:11" x14ac:dyDescent="0.3">
      <c r="A26" t="s">
        <v>56</v>
      </c>
      <c r="B26" s="22">
        <f>B24/B25</f>
        <v>19986.575562700964</v>
      </c>
      <c r="C26" s="22">
        <f t="shared" ref="C26" si="26">C24/C25</f>
        <v>25211.345598845601</v>
      </c>
      <c r="D26" s="22">
        <f>D24/D25</f>
        <v>28844.362207602338</v>
      </c>
      <c r="E26" s="43">
        <f>D26*(1+E27)</f>
        <v>34692.793402681949</v>
      </c>
      <c r="F26" s="43">
        <f t="shared" ref="F26" si="27">E26*(1+F27)</f>
        <v>39992.40235695392</v>
      </c>
      <c r="G26" s="43">
        <f t="shared" ref="G26" si="28">F26*(1+G27)</f>
        <v>45101.760019801826</v>
      </c>
      <c r="H26" s="43">
        <f t="shared" ref="H26" si="29">G26*(1+H27)</f>
        <v>49736.336061716102</v>
      </c>
    </row>
    <row r="27" spans="1:11" x14ac:dyDescent="0.3">
      <c r="A27" t="s">
        <v>52</v>
      </c>
      <c r="B27" s="23"/>
      <c r="C27" s="41">
        <f>C26/B26-1</f>
        <v>0.26141396857874577</v>
      </c>
      <c r="D27" s="47">
        <f>D26/C26-1</f>
        <v>0.14410244762671809</v>
      </c>
      <c r="E27" s="42">
        <f>AVERAGE(C27:D27)</f>
        <v>0.20275820810273193</v>
      </c>
      <c r="F27" s="53">
        <f>E27-5%</f>
        <v>0.15275820810273194</v>
      </c>
      <c r="G27" s="54">
        <f>F27-2.5%</f>
        <v>0.12775820810273195</v>
      </c>
      <c r="H27" s="54">
        <f>G27-2.5%</f>
        <v>0.10275820810273195</v>
      </c>
    </row>
    <row r="28" spans="1:11" x14ac:dyDescent="0.3">
      <c r="B28" s="23"/>
      <c r="C28" s="23"/>
      <c r="D28" s="23"/>
    </row>
    <row r="29" spans="1:11" x14ac:dyDescent="0.3">
      <c r="B29" s="23"/>
      <c r="C29" s="23"/>
      <c r="D29" s="23"/>
    </row>
    <row r="30" spans="1:11" x14ac:dyDescent="0.3">
      <c r="A30" s="2" t="s">
        <v>59</v>
      </c>
      <c r="B30" s="23"/>
      <c r="C30" s="23"/>
      <c r="D30" s="23"/>
      <c r="I30" s="52"/>
      <c r="J30" s="40" t="s">
        <v>60</v>
      </c>
      <c r="K30" s="40"/>
    </row>
    <row r="31" spans="1:11" x14ac:dyDescent="0.3">
      <c r="A31" t="s">
        <v>37</v>
      </c>
      <c r="B31" s="23">
        <v>945816</v>
      </c>
      <c r="C31" s="23">
        <v>1469521</v>
      </c>
      <c r="D31" s="23">
        <v>2372300</v>
      </c>
      <c r="E31" s="22">
        <f>E33*E32</f>
        <v>3192485.3374921991</v>
      </c>
      <c r="F31" s="22">
        <f t="shared" ref="F31" si="30">F33*F32</f>
        <v>4633674.0539286928</v>
      </c>
      <c r="G31" s="22">
        <f t="shared" ref="G31" si="31">G33*G32</f>
        <v>6493777.1744138356</v>
      </c>
      <c r="H31" s="22">
        <f t="shared" ref="H31" si="32">H33*H32</f>
        <v>8451206.7216355838</v>
      </c>
      <c r="I31" s="37">
        <v>2018</v>
      </c>
      <c r="J31" s="37">
        <v>2019</v>
      </c>
      <c r="K31" s="37">
        <v>2020</v>
      </c>
    </row>
    <row r="32" spans="1:11" x14ac:dyDescent="0.3">
      <c r="A32" t="s">
        <v>55</v>
      </c>
      <c r="B32" s="36">
        <f>I32*12</f>
        <v>133.92000000000002</v>
      </c>
      <c r="C32" s="36">
        <f t="shared" ref="C32" si="33">J32*12</f>
        <v>150.84</v>
      </c>
      <c r="D32" s="36">
        <f t="shared" ref="D32" si="34">K32*12</f>
        <v>159.84</v>
      </c>
      <c r="E32" s="44">
        <f>AVERAGE($B$32:$D$32)</f>
        <v>148.20000000000002</v>
      </c>
      <c r="F32" s="44">
        <f t="shared" ref="F32:H32" si="35">AVERAGE($B$32:$D$32)</f>
        <v>148.20000000000002</v>
      </c>
      <c r="G32" s="44">
        <f t="shared" si="35"/>
        <v>148.20000000000002</v>
      </c>
      <c r="H32" s="44">
        <f t="shared" si="35"/>
        <v>148.20000000000002</v>
      </c>
      <c r="I32" s="38">
        <v>11.16</v>
      </c>
      <c r="J32" s="38">
        <v>12.57</v>
      </c>
      <c r="K32" s="38">
        <v>13.32</v>
      </c>
    </row>
    <row r="33" spans="1:8" x14ac:dyDescent="0.3">
      <c r="A33" t="s">
        <v>56</v>
      </c>
      <c r="B33" s="22">
        <f>B31/B32</f>
        <v>7062.5448028673827</v>
      </c>
      <c r="C33" s="22">
        <f t="shared" ref="C33" si="36">C31/C32</f>
        <v>9742.2500662954117</v>
      </c>
      <c r="D33" s="22">
        <f>D31/D32</f>
        <v>14841.716716716717</v>
      </c>
      <c r="E33" s="43">
        <f>D33*(1+E34)</f>
        <v>21541.736420325229</v>
      </c>
      <c r="F33" s="43">
        <f t="shared" ref="F33" si="37">E33*(1+F34)</f>
        <v>31266.356639194953</v>
      </c>
      <c r="G33" s="43">
        <f t="shared" ref="G33" si="38">F33*(1+G34)</f>
        <v>43817.659746382153</v>
      </c>
      <c r="H33" s="43">
        <f t="shared" ref="H33" si="39">G33*(1+H34)</f>
        <v>57025.686380806896</v>
      </c>
    </row>
    <row r="34" spans="1:8" x14ac:dyDescent="0.3">
      <c r="A34" t="s">
        <v>52</v>
      </c>
      <c r="B34" s="23"/>
      <c r="C34" s="41">
        <f>C33/B33-1</f>
        <v>0.37942488695293974</v>
      </c>
      <c r="D34" s="47">
        <f>D33/C33-1</f>
        <v>0.52343828332466824</v>
      </c>
      <c r="E34" s="56">
        <f>AVERAGE($C$34:$D$34)</f>
        <v>0.45143158513880399</v>
      </c>
      <c r="F34" s="56">
        <f>AVERAGE($C$34:$D$34)</f>
        <v>0.45143158513880399</v>
      </c>
      <c r="G34" s="48">
        <f>F34-5%</f>
        <v>0.401431585138804</v>
      </c>
      <c r="H34" s="48">
        <f>G34-10%</f>
        <v>0.30143158513880397</v>
      </c>
    </row>
  </sheetData>
  <mergeCells count="3">
    <mergeCell ref="I9:K9"/>
    <mergeCell ref="I16:K16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C6FB-2BF7-4C2E-87ED-186FEAD5C030}">
  <dimension ref="A1:H26"/>
  <sheetViews>
    <sheetView topLeftCell="A21" workbookViewId="0">
      <selection sqref="A1:H1"/>
    </sheetView>
  </sheetViews>
  <sheetFormatPr defaultRowHeight="14.4" x14ac:dyDescent="0.3"/>
  <cols>
    <col min="1" max="1" width="31.88671875" bestFit="1" customWidth="1"/>
    <col min="2" max="2" width="12.77734375" customWidth="1"/>
    <col min="3" max="3" width="13.33203125" customWidth="1"/>
    <col min="4" max="4" width="13.109375" customWidth="1"/>
    <col min="5" max="5" width="12.109375" customWidth="1"/>
    <col min="6" max="6" width="11.44140625" customWidth="1"/>
    <col min="7" max="7" width="12.88671875" customWidth="1"/>
    <col min="8" max="8" width="12.6640625" customWidth="1"/>
  </cols>
  <sheetData>
    <row r="1" spans="1:8" ht="21" x14ac:dyDescent="0.4">
      <c r="A1" s="79" t="s">
        <v>65</v>
      </c>
      <c r="B1" s="79"/>
      <c r="C1" s="79"/>
      <c r="D1" s="79"/>
      <c r="E1" s="79"/>
      <c r="F1" s="79"/>
      <c r="G1" s="79"/>
      <c r="H1" s="79"/>
    </row>
    <row r="3" spans="1:8" ht="40.200000000000003" customHeight="1" x14ac:dyDescent="0.3">
      <c r="A3" s="77" t="s">
        <v>1</v>
      </c>
      <c r="B3" s="76">
        <v>2018</v>
      </c>
      <c r="C3" s="76">
        <v>2019</v>
      </c>
      <c r="D3" s="76">
        <v>2020</v>
      </c>
      <c r="E3" s="83" t="s">
        <v>61</v>
      </c>
      <c r="F3" s="83" t="s">
        <v>62</v>
      </c>
      <c r="G3" s="83" t="s">
        <v>63</v>
      </c>
      <c r="H3" s="83" t="s">
        <v>64</v>
      </c>
    </row>
    <row r="4" spans="1:8" x14ac:dyDescent="0.3">
      <c r="A4" t="s">
        <v>66</v>
      </c>
      <c r="B4" s="23">
        <f>'P&amp;L'!B5</f>
        <v>9967538</v>
      </c>
      <c r="C4" s="23">
        <f>'P&amp;L'!C5</f>
        <v>12440213</v>
      </c>
      <c r="D4" s="23">
        <f>'P&amp;L'!D5</f>
        <v>15276319</v>
      </c>
      <c r="E4" s="23">
        <f>'Revenue Modelling'!E3*'Other items'!E5</f>
        <v>17476551.43362157</v>
      </c>
      <c r="F4" s="23">
        <f>'Revenue Modelling'!F3*'Other items'!F5</f>
        <v>20507738.360529877</v>
      </c>
      <c r="G4" s="23">
        <f>'Revenue Modelling'!G3*'Other items'!G5</f>
        <v>23362117.37563096</v>
      </c>
      <c r="H4" s="23">
        <f>'Revenue Modelling'!H3*'Other items'!H5</f>
        <v>26217151.526685573</v>
      </c>
    </row>
    <row r="5" spans="1:8" x14ac:dyDescent="0.3">
      <c r="A5" t="s">
        <v>67</v>
      </c>
      <c r="B5" s="41">
        <f>B4/'Revenue Modelling'!B6</f>
        <v>0.61680576586656011</v>
      </c>
      <c r="C5" s="41">
        <f>C4/'Revenue Modelling'!C6</f>
        <v>0.60821440109703573</v>
      </c>
      <c r="D5" s="41">
        <f>D4/'Revenue Modelling'!D6</f>
        <v>0.6053566685345575</v>
      </c>
      <c r="E5" s="53">
        <f>AVERAGE(($B$5:$D$5))</f>
        <v>0.61012561183271774</v>
      </c>
      <c r="F5" s="53">
        <f t="shared" ref="F5:H5" si="0">AVERAGE(($B$5:$D$5))</f>
        <v>0.61012561183271774</v>
      </c>
      <c r="G5" s="53">
        <f t="shared" si="0"/>
        <v>0.61012561183271774</v>
      </c>
      <c r="H5" s="53">
        <f t="shared" si="0"/>
        <v>0.61012561183271774</v>
      </c>
    </row>
    <row r="7" spans="1:8" x14ac:dyDescent="0.3">
      <c r="A7" t="s">
        <v>68</v>
      </c>
      <c r="B7" s="23">
        <f>'P&amp;L'!B6</f>
        <v>2369469</v>
      </c>
      <c r="C7" s="23">
        <f>'P&amp;L'!C6</f>
        <v>2652462</v>
      </c>
      <c r="D7" s="23">
        <f>'P&amp;L'!D6</f>
        <v>2228362</v>
      </c>
      <c r="E7" s="23">
        <f>'Revenue Modelling'!E6*'Other items'!E8</f>
        <v>3504858.9023767537</v>
      </c>
      <c r="F7" s="23">
        <f>'Revenue Modelling'!F6*'Other items'!F8</f>
        <v>4104178.53799748</v>
      </c>
      <c r="G7" s="23">
        <f>'Revenue Modelling'!G6*'Other items'!G8</f>
        <v>4669136.0926631149</v>
      </c>
      <c r="H7" s="23">
        <f>'Revenue Modelling'!H6*'Other items'!H8</f>
        <v>5234918.3572736839</v>
      </c>
    </row>
    <row r="8" spans="1:8" x14ac:dyDescent="0.3">
      <c r="A8" t="s">
        <v>67</v>
      </c>
      <c r="B8" s="41">
        <f>B7/'Revenue Modelling'!B6</f>
        <v>0.14662619206890129</v>
      </c>
      <c r="C8" s="41">
        <f>C7/'Revenue Modelling'!C6</f>
        <v>0.12968150840846901</v>
      </c>
      <c r="D8" s="41">
        <f>D7/'Revenue Modelling'!D6</f>
        <v>8.8303589144021116E-2</v>
      </c>
      <c r="E8" s="42">
        <f>AVERAGE($B$8:$D$8)</f>
        <v>0.12153709654046381</v>
      </c>
      <c r="F8" s="42">
        <f t="shared" ref="F8:H8" si="1">AVERAGE($B$8:$D$8)</f>
        <v>0.12153709654046381</v>
      </c>
      <c r="G8" s="42">
        <f t="shared" si="1"/>
        <v>0.12153709654046381</v>
      </c>
      <c r="H8" s="42">
        <f t="shared" si="1"/>
        <v>0.12153709654046381</v>
      </c>
    </row>
    <row r="10" spans="1:8" x14ac:dyDescent="0.3">
      <c r="A10" t="s">
        <v>69</v>
      </c>
      <c r="B10" s="23">
        <v>1221814</v>
      </c>
      <c r="C10" s="23">
        <v>1545149</v>
      </c>
      <c r="D10" s="23">
        <v>1829600</v>
      </c>
      <c r="E10" s="23">
        <f>'Revenue Modelling'!E6*'Other items'!E11</f>
        <v>2149887.5010938258</v>
      </c>
      <c r="F10" s="23">
        <f>'Revenue Modelling'!F6*'Other items'!F11</f>
        <v>2517511.3711752589</v>
      </c>
      <c r="G10" s="23">
        <f>'Revenue Modelling'!G6*'Other items'!G11</f>
        <v>2864057.47167606</v>
      </c>
      <c r="H10" s="23">
        <f>'Revenue Modelling'!H6*'Other items'!H11</f>
        <v>3211109.4509160696</v>
      </c>
    </row>
    <row r="11" spans="1:8" x14ac:dyDescent="0.3">
      <c r="A11" t="s">
        <v>67</v>
      </c>
      <c r="B11" s="41">
        <f>B10/'Revenue Modelling'!B6</f>
        <v>7.5607629488494074E-2</v>
      </c>
      <c r="C11" s="41">
        <f>C10/'Revenue Modelling'!C6</f>
        <v>7.5543873215087529E-2</v>
      </c>
      <c r="D11" s="41">
        <f>D10/'Revenue Modelling'!D6</f>
        <v>7.250179580243292E-2</v>
      </c>
      <c r="E11" s="55">
        <f>AVERAGE($B$11:$D$11)</f>
        <v>7.4551099502004836E-2</v>
      </c>
      <c r="F11" s="55">
        <f t="shared" ref="F11:H11" si="2">AVERAGE($B$11:$D$11)</f>
        <v>7.4551099502004836E-2</v>
      </c>
      <c r="G11" s="55">
        <f t="shared" si="2"/>
        <v>7.4551099502004836E-2</v>
      </c>
      <c r="H11" s="55">
        <f t="shared" si="2"/>
        <v>7.4551099502004836E-2</v>
      </c>
    </row>
    <row r="13" spans="1:8" x14ac:dyDescent="0.3">
      <c r="A13" t="s">
        <v>70</v>
      </c>
      <c r="B13" s="23">
        <v>630294</v>
      </c>
      <c r="C13" s="23">
        <v>914369</v>
      </c>
      <c r="D13" s="23">
        <v>1076486</v>
      </c>
      <c r="E13" s="23">
        <f>'Revenue Modelling'!E6*'Other items'!E14</f>
        <v>1214704.2955994152</v>
      </c>
      <c r="F13" s="23">
        <f>'Revenue Modelling'!F6*'Other items'!F14</f>
        <v>1422414.8357674934</v>
      </c>
      <c r="G13" s="23">
        <f>'Revenue Modelling'!G6*'Other items'!G14</f>
        <v>1618216.261045503</v>
      </c>
      <c r="H13" s="23">
        <f>'Revenue Modelling'!H6*'Other items'!H14</f>
        <v>1814303.5120131157</v>
      </c>
    </row>
    <row r="14" spans="1:8" x14ac:dyDescent="0.3">
      <c r="A14" t="s">
        <v>67</v>
      </c>
      <c r="B14" s="41">
        <f>B13/'Revenue Modelling'!B6</f>
        <v>3.9003510535008508E-2</v>
      </c>
      <c r="C14" s="41">
        <f>C13/'Revenue Modelling'!C6</f>
        <v>4.4704410906525112E-2</v>
      </c>
      <c r="D14" s="41">
        <f>D13/'Revenue Modelling'!D6</f>
        <v>4.2658049932322806E-2</v>
      </c>
      <c r="E14" s="42">
        <f>AVERAGE($B$14:$D$14)</f>
        <v>4.212199045795214E-2</v>
      </c>
      <c r="F14" s="42">
        <f t="shared" ref="F14:H14" si="3">AVERAGE($B$14:$D$14)</f>
        <v>4.212199045795214E-2</v>
      </c>
      <c r="G14" s="42">
        <f t="shared" si="3"/>
        <v>4.212199045795214E-2</v>
      </c>
      <c r="H14" s="42">
        <f t="shared" si="3"/>
        <v>4.212199045795214E-2</v>
      </c>
    </row>
    <row r="16" spans="1:8" x14ac:dyDescent="0.3">
      <c r="A16" t="s">
        <v>4</v>
      </c>
      <c r="B16" s="25">
        <v>5899652</v>
      </c>
      <c r="C16" s="27">
        <v>1160067</v>
      </c>
      <c r="D16" s="58">
        <v>1556030</v>
      </c>
      <c r="E16" s="23">
        <f>'Revenue Modelling'!E6*'Other items'!E17</f>
        <v>1778165.8280638817</v>
      </c>
      <c r="F16" s="23">
        <f>'Revenue Modelling'!F6*'Other items'!F17</f>
        <v>2082226.4838083386</v>
      </c>
      <c r="G16" s="23">
        <f>'Revenue Modelling'!G6*'Other items'!G17</f>
        <v>2368853.7763740174</v>
      </c>
      <c r="H16" s="23">
        <f>'Revenue Modelling'!H6*'Other items'!H17</f>
        <v>2655899.4798038681</v>
      </c>
    </row>
    <row r="17" spans="1:8" x14ac:dyDescent="0.3">
      <c r="A17" t="s">
        <v>67</v>
      </c>
      <c r="B17" s="41">
        <f>B16/'Revenue Modelling'!B6</f>
        <v>0.36507905665432955</v>
      </c>
      <c r="C17" s="41">
        <f>C16/'Revenue Modelling'!C6</f>
        <v>5.6716830783961253E-2</v>
      </c>
      <c r="D17" s="41">
        <f>D16/'Revenue Modelling'!D6</f>
        <v>6.1661002034575703E-2</v>
      </c>
      <c r="E17" s="42">
        <f>$D$17</f>
        <v>6.1661002034575703E-2</v>
      </c>
      <c r="F17" s="42">
        <f t="shared" ref="F17:H17" si="4">$D$17</f>
        <v>6.1661002034575703E-2</v>
      </c>
      <c r="G17" s="42">
        <f t="shared" si="4"/>
        <v>6.1661002034575703E-2</v>
      </c>
      <c r="H17" s="42">
        <f t="shared" si="4"/>
        <v>6.1661002034575703E-2</v>
      </c>
    </row>
    <row r="19" spans="1:8" x14ac:dyDescent="0.3">
      <c r="A19" t="s">
        <v>10</v>
      </c>
      <c r="B19" s="25">
        <v>562985</v>
      </c>
      <c r="C19" s="25">
        <v>674347</v>
      </c>
      <c r="D19" s="25">
        <v>656183</v>
      </c>
      <c r="E19" s="24">
        <f>(E20*E4)/365</f>
        <v>750692.35915851872</v>
      </c>
      <c r="F19" s="24">
        <f t="shared" ref="F19:H19" si="5">(F20*F4)/365</f>
        <v>880894.75485734339</v>
      </c>
      <c r="G19" s="24">
        <f t="shared" si="5"/>
        <v>1003502.497289671</v>
      </c>
      <c r="H19" s="24">
        <f t="shared" si="5"/>
        <v>1126138.3806030182</v>
      </c>
    </row>
    <row r="20" spans="1:8" x14ac:dyDescent="0.3">
      <c r="A20" t="s">
        <v>73</v>
      </c>
      <c r="B20" s="51">
        <f>B19/B4*365</f>
        <v>20.615875755878733</v>
      </c>
      <c r="C20" s="51">
        <f t="shared" ref="C20:D20" si="6">C19/C4*365</f>
        <v>19.785565970614812</v>
      </c>
      <c r="D20" s="51">
        <f t="shared" si="6"/>
        <v>15.678305421613675</v>
      </c>
      <c r="E20" s="59">
        <f>$D$20</f>
        <v>15.678305421613675</v>
      </c>
      <c r="F20" s="59">
        <f t="shared" ref="F20:H20" si="7">$D$20</f>
        <v>15.678305421613675</v>
      </c>
      <c r="G20" s="59">
        <f t="shared" si="7"/>
        <v>15.678305421613675</v>
      </c>
      <c r="H20" s="59">
        <f t="shared" si="7"/>
        <v>15.678305421613675</v>
      </c>
    </row>
    <row r="22" spans="1:8" x14ac:dyDescent="0.3">
      <c r="A22" t="s">
        <v>11</v>
      </c>
      <c r="B22" s="25">
        <v>481874</v>
      </c>
      <c r="C22" s="25">
        <v>843043</v>
      </c>
      <c r="D22" s="25">
        <v>1102196</v>
      </c>
      <c r="E22" s="23">
        <f>'Revenue Modelling'!E6*'Other items'!E23</f>
        <v>1102690.4029660495</v>
      </c>
      <c r="F22" s="23">
        <f>'Revenue Modelling'!F6*'Other items'!F23</f>
        <v>1291246.9266138154</v>
      </c>
      <c r="G22" s="23">
        <f>'Revenue Modelling'!G6*'Other items'!G23</f>
        <v>1468992.5337737801</v>
      </c>
      <c r="H22" s="23">
        <f>'Revenue Modelling'!H6*'Other items'!H23</f>
        <v>1646997.6092224373</v>
      </c>
    </row>
    <row r="23" spans="1:8" x14ac:dyDescent="0.3">
      <c r="A23" t="s">
        <v>67</v>
      </c>
      <c r="B23" s="41">
        <f>B22/'Revenue Modelling'!B6</f>
        <v>2.9819064810305489E-2</v>
      </c>
      <c r="C23" s="41">
        <f>C22/'Revenue Modelling'!C6</f>
        <v>4.1217211742600249E-2</v>
      </c>
      <c r="D23" s="41">
        <f>$D$22/'Revenue Modelling'!D6</f>
        <v>4.3676863427119787E-2</v>
      </c>
      <c r="E23" s="53">
        <f>AVERAGE($B$23:$D$23)</f>
        <v>3.8237713326675173E-2</v>
      </c>
      <c r="F23" s="53">
        <f t="shared" ref="F23:H23" si="8">AVERAGE($B$23:$D$23)</f>
        <v>3.8237713326675173E-2</v>
      </c>
      <c r="G23" s="53">
        <f t="shared" si="8"/>
        <v>3.8237713326675173E-2</v>
      </c>
      <c r="H23" s="53">
        <f t="shared" si="8"/>
        <v>3.8237713326675173E-2</v>
      </c>
    </row>
    <row r="25" spans="1:8" x14ac:dyDescent="0.3">
      <c r="A25" s="35" t="s">
        <v>12</v>
      </c>
      <c r="B25" s="60">
        <v>760899</v>
      </c>
      <c r="C25" s="60">
        <v>924745</v>
      </c>
      <c r="D25" s="60">
        <v>1117992</v>
      </c>
      <c r="E25" s="23">
        <f>'Revenue Modelling'!E6*'Other items'!E26</f>
        <v>1313080.3527406624</v>
      </c>
      <c r="F25" s="23">
        <f>'Revenue Modelling'!F6*'Other items'!F26</f>
        <v>1537612.8832832214</v>
      </c>
      <c r="G25" s="23">
        <f>'Revenue Modelling'!G6*'Other items'!G26</f>
        <v>1749271.8076013424</v>
      </c>
      <c r="H25" s="23">
        <f>'Revenue Modelling'!H6*'Other items'!H26</f>
        <v>1961239.7059625178</v>
      </c>
    </row>
    <row r="26" spans="1:8" x14ac:dyDescent="0.3">
      <c r="A26" t="s">
        <v>67</v>
      </c>
      <c r="B26" s="41">
        <f>B25/'Revenue Modelling'!B6</f>
        <v>4.7085538118048775E-2</v>
      </c>
      <c r="C26" s="41">
        <f>C25/'Revenue Modelling'!C6</f>
        <v>4.5211703878581366E-2</v>
      </c>
      <c r="D26" s="41">
        <f>D25/'Revenue Modelling'!D6</f>
        <v>4.430281356184608E-2</v>
      </c>
      <c r="E26" s="42">
        <f>AVERAGE($B$26:$D$26)</f>
        <v>4.55333518528254E-2</v>
      </c>
      <c r="F26" s="42">
        <f t="shared" ref="F26:H26" si="9">AVERAGE($B$26:$D$26)</f>
        <v>4.55333518528254E-2</v>
      </c>
      <c r="G26" s="42">
        <f t="shared" si="9"/>
        <v>4.55333518528254E-2</v>
      </c>
      <c r="H26" s="42">
        <f t="shared" si="9"/>
        <v>4.55333518528254E-2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458F-A4C7-4727-B7EB-5F47B8F911B3}">
  <dimension ref="A1:H28"/>
  <sheetViews>
    <sheetView topLeftCell="A11" workbookViewId="0">
      <selection activeCell="K17" sqref="K17"/>
    </sheetView>
  </sheetViews>
  <sheetFormatPr defaultRowHeight="14.4" x14ac:dyDescent="0.3"/>
  <cols>
    <col min="1" max="1" width="30.88671875" bestFit="1" customWidth="1"/>
    <col min="2" max="2" width="13.44140625" customWidth="1"/>
    <col min="3" max="3" width="13.5546875" customWidth="1"/>
    <col min="4" max="4" width="12.6640625" customWidth="1"/>
    <col min="5" max="5" width="12" customWidth="1"/>
    <col min="6" max="6" width="11.109375" customWidth="1"/>
    <col min="7" max="7" width="11.44140625" customWidth="1"/>
    <col min="8" max="8" width="11.21875" customWidth="1"/>
  </cols>
  <sheetData>
    <row r="1" spans="1:8" ht="21" x14ac:dyDescent="0.4">
      <c r="A1" s="79" t="s">
        <v>74</v>
      </c>
      <c r="B1" s="79"/>
      <c r="C1" s="79"/>
      <c r="D1" s="79"/>
      <c r="E1" s="79"/>
      <c r="F1" s="79"/>
      <c r="G1" s="79"/>
      <c r="H1" s="79"/>
    </row>
    <row r="3" spans="1:8" ht="28.8" x14ac:dyDescent="0.3">
      <c r="A3" s="84" t="s">
        <v>1</v>
      </c>
      <c r="B3" s="84">
        <v>2018</v>
      </c>
      <c r="C3" s="84">
        <v>2019</v>
      </c>
      <c r="D3" s="84">
        <v>2020</v>
      </c>
      <c r="E3" s="85" t="s">
        <v>61</v>
      </c>
      <c r="F3" s="85" t="s">
        <v>62</v>
      </c>
      <c r="G3" s="85" t="s">
        <v>63</v>
      </c>
      <c r="H3" s="85" t="s">
        <v>64</v>
      </c>
    </row>
    <row r="4" spans="1:8" x14ac:dyDescent="0.3">
      <c r="A4" t="s">
        <v>75</v>
      </c>
      <c r="B4" s="23"/>
      <c r="C4" s="23">
        <f>B7</f>
        <v>418281</v>
      </c>
      <c r="D4" s="23">
        <f>C7</f>
        <v>565221</v>
      </c>
      <c r="E4" s="24">
        <f>D7</f>
        <v>960183</v>
      </c>
      <c r="F4" s="24">
        <f t="shared" ref="F4:H4" si="0">E7</f>
        <v>1284140.1319325478</v>
      </c>
      <c r="G4" s="24">
        <f t="shared" si="0"/>
        <v>1580571.3401268851</v>
      </c>
      <c r="H4" s="24">
        <f t="shared" si="0"/>
        <v>1855677.8705373763</v>
      </c>
    </row>
    <row r="5" spans="1:8" x14ac:dyDescent="0.3">
      <c r="A5" t="s">
        <v>76</v>
      </c>
      <c r="B5" s="23"/>
      <c r="C5" s="23">
        <f>C7+C6-C4</f>
        <v>250519</v>
      </c>
      <c r="D5" s="23">
        <f>$D$7+$D$6-$D$4</f>
        <v>510672</v>
      </c>
      <c r="E5" s="63">
        <f t="shared" ref="E5:H5" si="1">$D$7+$D$6-$D$4</f>
        <v>510672</v>
      </c>
      <c r="F5" s="63">
        <f t="shared" si="1"/>
        <v>510672</v>
      </c>
      <c r="G5" s="63">
        <f t="shared" si="1"/>
        <v>510672</v>
      </c>
      <c r="H5" s="63">
        <f t="shared" si="1"/>
        <v>510672</v>
      </c>
    </row>
    <row r="6" spans="1:8" x14ac:dyDescent="0.3">
      <c r="A6" t="s">
        <v>77</v>
      </c>
      <c r="B6" s="23">
        <v>83157</v>
      </c>
      <c r="C6" s="23">
        <v>103579</v>
      </c>
      <c r="D6" s="23">
        <v>115710</v>
      </c>
      <c r="E6" s="23">
        <f>(E4+E5)/E9</f>
        <v>186714.86806745233</v>
      </c>
      <c r="F6" s="23">
        <f t="shared" ref="F6:H6" si="2">(F4+F5)/F9</f>
        <v>214240.79180566277</v>
      </c>
      <c r="G6" s="23">
        <f t="shared" si="2"/>
        <v>235565.4695895089</v>
      </c>
      <c r="H6" s="23">
        <f t="shared" si="2"/>
        <v>252342.11800147456</v>
      </c>
    </row>
    <row r="7" spans="1:8" x14ac:dyDescent="0.3">
      <c r="A7" t="s">
        <v>78</v>
      </c>
      <c r="B7" s="23">
        <f>'Balance Sheet'!B10</f>
        <v>418281</v>
      </c>
      <c r="C7" s="23">
        <f>'Balance Sheet'!C10</f>
        <v>565221</v>
      </c>
      <c r="D7" s="23">
        <f>'Balance Sheet'!D10</f>
        <v>960183</v>
      </c>
      <c r="E7" s="23">
        <f>E4+E5-E6</f>
        <v>1284140.1319325478</v>
      </c>
      <c r="F7" s="23">
        <f t="shared" ref="F7:H7" si="3">F4+F5-F6</f>
        <v>1580571.3401268851</v>
      </c>
      <c r="G7" s="23">
        <f t="shared" si="3"/>
        <v>1855677.8705373763</v>
      </c>
      <c r="H7" s="23">
        <f t="shared" si="3"/>
        <v>2114007.7525359015</v>
      </c>
    </row>
    <row r="9" spans="1:8" x14ac:dyDescent="0.3">
      <c r="A9" t="s">
        <v>79</v>
      </c>
      <c r="C9" s="24">
        <f>(C4+C5)/C6</f>
        <v>6.4569072881568657</v>
      </c>
      <c r="D9" s="24">
        <f>(D4+D5)/D6</f>
        <v>9.298185117967332</v>
      </c>
      <c r="E9" s="61">
        <f>AVERAGE(C9:D9)</f>
        <v>7.8775462030620993</v>
      </c>
      <c r="F9" s="62">
        <f>E9+0.5</f>
        <v>8.3775462030620993</v>
      </c>
      <c r="G9" s="62">
        <f t="shared" ref="G9:H9" si="4">F9+0.5</f>
        <v>8.8775462030620993</v>
      </c>
      <c r="H9" s="62">
        <f t="shared" si="4"/>
        <v>9.3775462030620993</v>
      </c>
    </row>
    <row r="10" spans="1:8" x14ac:dyDescent="0.3">
      <c r="C10" s="24"/>
      <c r="D10" s="24"/>
      <c r="E10" s="64"/>
      <c r="F10" s="50"/>
      <c r="G10" s="50"/>
      <c r="H10" s="50"/>
    </row>
    <row r="11" spans="1:8" x14ac:dyDescent="0.3">
      <c r="C11" s="24"/>
      <c r="D11" s="24"/>
      <c r="E11" s="64"/>
      <c r="F11" s="50"/>
      <c r="G11" s="50"/>
      <c r="H11" s="50"/>
    </row>
    <row r="12" spans="1:8" x14ac:dyDescent="0.3">
      <c r="A12" s="2" t="s">
        <v>80</v>
      </c>
    </row>
    <row r="13" spans="1:8" ht="28.8" x14ac:dyDescent="0.3">
      <c r="A13" s="84" t="s">
        <v>1</v>
      </c>
      <c r="B13" s="84">
        <v>2018</v>
      </c>
      <c r="C13" s="84">
        <v>2019</v>
      </c>
      <c r="D13" s="84">
        <v>2020</v>
      </c>
      <c r="E13" s="85" t="s">
        <v>61</v>
      </c>
      <c r="F13" s="85" t="s">
        <v>62</v>
      </c>
      <c r="G13" s="85" t="s">
        <v>63</v>
      </c>
      <c r="H13" s="85" t="s">
        <v>64</v>
      </c>
    </row>
    <row r="14" spans="1:8" x14ac:dyDescent="0.3">
      <c r="A14" t="s">
        <v>75</v>
      </c>
      <c r="B14" s="23"/>
      <c r="C14" s="23">
        <f>B17</f>
        <v>14951141</v>
      </c>
      <c r="D14" s="23">
        <f t="shared" ref="D14:H14" si="5">C17</f>
        <v>24504567</v>
      </c>
      <c r="E14" s="23">
        <f t="shared" si="5"/>
        <v>25383950</v>
      </c>
      <c r="F14" s="23">
        <f t="shared" si="5"/>
        <v>26490394.690509938</v>
      </c>
      <c r="G14" s="23">
        <f t="shared" si="5"/>
        <v>27281059.995118186</v>
      </c>
      <c r="H14" s="23">
        <f t="shared" si="5"/>
        <v>27846069.370890178</v>
      </c>
    </row>
    <row r="15" spans="1:8" x14ac:dyDescent="0.3">
      <c r="A15" t="s">
        <v>82</v>
      </c>
      <c r="B15" s="23"/>
      <c r="C15" s="23">
        <f>C17+C16-C14</f>
        <v>18769673</v>
      </c>
      <c r="D15" s="23">
        <f>$D$17+$D$16-$D$14</f>
        <v>11686295</v>
      </c>
      <c r="E15" s="63">
        <f t="shared" ref="E15:H15" si="6">$D$17+$D$16-$D$14</f>
        <v>11686295</v>
      </c>
      <c r="F15" s="63">
        <f t="shared" si="6"/>
        <v>11686295</v>
      </c>
      <c r="G15" s="63">
        <f t="shared" si="6"/>
        <v>11686295</v>
      </c>
      <c r="H15" s="63">
        <f t="shared" si="6"/>
        <v>11686295</v>
      </c>
    </row>
    <row r="16" spans="1:8" x14ac:dyDescent="0.3">
      <c r="A16" t="s">
        <v>81</v>
      </c>
      <c r="B16" s="23"/>
      <c r="C16" s="23">
        <v>9216247</v>
      </c>
      <c r="D16" s="23">
        <v>10806912</v>
      </c>
      <c r="E16" s="23">
        <f>(E14+E15)/E19</f>
        <v>10579850.30949006</v>
      </c>
      <c r="F16" s="23">
        <f t="shared" ref="F16:H16" si="7">(F14+F15)/F19</f>
        <v>10895629.69539175</v>
      </c>
      <c r="G16" s="23">
        <f t="shared" si="7"/>
        <v>11121285.624228006</v>
      </c>
      <c r="H16" s="23">
        <f t="shared" si="7"/>
        <v>11282539.33644723</v>
      </c>
    </row>
    <row r="17" spans="1:8" x14ac:dyDescent="0.3">
      <c r="A17" t="s">
        <v>78</v>
      </c>
      <c r="B17" s="23">
        <f>'Balance Sheet'!B9</f>
        <v>14951141</v>
      </c>
      <c r="C17" s="23">
        <f>'Balance Sheet'!C9</f>
        <v>24504567</v>
      </c>
      <c r="D17" s="23">
        <f>'Balance Sheet'!D9</f>
        <v>25383950</v>
      </c>
      <c r="E17" s="23">
        <f>E14+E15-E16</f>
        <v>26490394.690509938</v>
      </c>
      <c r="F17" s="23">
        <f t="shared" ref="F17:H17" si="8">F14+F15-F16</f>
        <v>27281059.995118186</v>
      </c>
      <c r="G17" s="23">
        <f t="shared" si="8"/>
        <v>27846069.370890178</v>
      </c>
      <c r="H17" s="23">
        <f t="shared" si="8"/>
        <v>28249825.034442946</v>
      </c>
    </row>
    <row r="19" spans="1:8" x14ac:dyDescent="0.3">
      <c r="A19" t="s">
        <v>79</v>
      </c>
      <c r="C19" s="57">
        <f>(C14+C15)/C16</f>
        <v>3.6588444298422123</v>
      </c>
      <c r="D19" s="57">
        <f>(D14+D15)/D16</f>
        <v>3.3488624687607338</v>
      </c>
      <c r="E19" s="61">
        <f>AVERAGE($C$19:$D$19)</f>
        <v>3.5038534493014728</v>
      </c>
      <c r="F19" s="61">
        <f t="shared" ref="F19:H19" si="9">AVERAGE($C$19:$D$19)</f>
        <v>3.5038534493014728</v>
      </c>
      <c r="G19" s="61">
        <f t="shared" si="9"/>
        <v>3.5038534493014728</v>
      </c>
      <c r="H19" s="61">
        <f t="shared" si="9"/>
        <v>3.5038534493014728</v>
      </c>
    </row>
    <row r="22" spans="1:8" x14ac:dyDescent="0.3">
      <c r="A22" s="2" t="s">
        <v>83</v>
      </c>
    </row>
    <row r="23" spans="1:8" x14ac:dyDescent="0.3">
      <c r="A23" t="s">
        <v>84</v>
      </c>
      <c r="B23" s="23"/>
      <c r="C23" s="23">
        <f>B25</f>
        <v>10360058</v>
      </c>
      <c r="D23" s="23">
        <f>C25</f>
        <v>14759260</v>
      </c>
      <c r="E23" s="24">
        <f>D25</f>
        <v>15809095</v>
      </c>
      <c r="F23" s="24">
        <f t="shared" ref="F23:H23" si="10">E25</f>
        <v>15309095</v>
      </c>
      <c r="G23" s="24">
        <f t="shared" si="10"/>
        <v>14609095</v>
      </c>
      <c r="H23" s="24">
        <f t="shared" si="10"/>
        <v>14609095</v>
      </c>
    </row>
    <row r="24" spans="1:8" x14ac:dyDescent="0.3">
      <c r="A24" t="s">
        <v>85</v>
      </c>
      <c r="B24" s="23"/>
      <c r="C24" s="23">
        <f>C25-C23</f>
        <v>4399202</v>
      </c>
      <c r="D24" s="23">
        <f>D25-D23</f>
        <v>1049835</v>
      </c>
      <c r="E24" s="63">
        <v>-500000</v>
      </c>
      <c r="F24" s="63">
        <v>-700000</v>
      </c>
      <c r="G24" s="63">
        <v>0</v>
      </c>
      <c r="H24" s="63">
        <v>-400000</v>
      </c>
    </row>
    <row r="25" spans="1:8" x14ac:dyDescent="0.3">
      <c r="A25" t="s">
        <v>78</v>
      </c>
      <c r="B25" s="23">
        <f>'Balance Sheet'!B23</f>
        <v>10360058</v>
      </c>
      <c r="C25" s="23">
        <f>'Balance Sheet'!C23</f>
        <v>14759260</v>
      </c>
      <c r="D25" s="23">
        <f>'Balance Sheet'!D23</f>
        <v>15809095</v>
      </c>
      <c r="E25" s="24">
        <f>E23+E24</f>
        <v>15309095</v>
      </c>
      <c r="F25" s="24">
        <f t="shared" ref="F25:H25" si="11">F23+F24</f>
        <v>14609095</v>
      </c>
      <c r="G25" s="24">
        <f t="shared" si="11"/>
        <v>14609095</v>
      </c>
      <c r="H25" s="24">
        <f t="shared" si="11"/>
        <v>14209095</v>
      </c>
    </row>
    <row r="27" spans="1:8" x14ac:dyDescent="0.3">
      <c r="A27" t="s">
        <v>86</v>
      </c>
      <c r="B27" s="23">
        <f>'P&amp;L'!B11</f>
        <v>-420493</v>
      </c>
      <c r="C27" s="23">
        <f>'P&amp;L'!C11</f>
        <v>-626023</v>
      </c>
      <c r="D27" s="23">
        <f>'P&amp;L'!D11</f>
        <v>-767499</v>
      </c>
      <c r="E27" s="24">
        <f>E25*E28</f>
        <v>-696284.80809230579</v>
      </c>
      <c r="F27" s="24">
        <f t="shared" ref="F27:H27" si="12">F25*F28</f>
        <v>-664447.56587357156</v>
      </c>
      <c r="G27" s="24">
        <f t="shared" si="12"/>
        <v>-664447.56587357156</v>
      </c>
      <c r="H27" s="24">
        <f t="shared" si="12"/>
        <v>-646254.85603429482</v>
      </c>
    </row>
    <row r="28" spans="1:8" x14ac:dyDescent="0.3">
      <c r="B28" s="46">
        <f>B27/B25</f>
        <v>-4.0587900183570398E-2</v>
      </c>
      <c r="C28" s="46">
        <f t="shared" ref="C28:D28" si="13">C27/C25</f>
        <v>-4.2415608912641962E-2</v>
      </c>
      <c r="D28" s="46">
        <f t="shared" si="13"/>
        <v>-4.8547940283741729E-2</v>
      </c>
      <c r="E28" s="55">
        <f>AVERAGE($C$28:$D$28)</f>
        <v>-4.5481774598191846E-2</v>
      </c>
      <c r="F28" s="55">
        <f t="shared" ref="F28:H28" si="14">AVERAGE($C$28:$D$28)</f>
        <v>-4.5481774598191846E-2</v>
      </c>
      <c r="G28" s="55">
        <f t="shared" si="14"/>
        <v>-4.5481774598191846E-2</v>
      </c>
      <c r="H28" s="55">
        <f t="shared" si="14"/>
        <v>-4.5481774598191846E-2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4ADD-57F6-4BE0-B836-E9431E6BAF03}">
  <dimension ref="A1:H22"/>
  <sheetViews>
    <sheetView topLeftCell="A3" workbookViewId="0">
      <selection sqref="A1:H1"/>
    </sheetView>
  </sheetViews>
  <sheetFormatPr defaultRowHeight="14.4" x14ac:dyDescent="0.3"/>
  <cols>
    <col min="1" max="1" width="35" bestFit="1" customWidth="1"/>
    <col min="2" max="2" width="11.21875" customWidth="1"/>
    <col min="3" max="3" width="13.33203125" customWidth="1"/>
    <col min="4" max="4" width="13.44140625" customWidth="1"/>
    <col min="5" max="5" width="14.77734375" customWidth="1"/>
    <col min="6" max="6" width="13.33203125" customWidth="1"/>
    <col min="7" max="7" width="14" customWidth="1"/>
    <col min="8" max="8" width="17.77734375" customWidth="1"/>
  </cols>
  <sheetData>
    <row r="1" spans="1:8" ht="21" x14ac:dyDescent="0.4">
      <c r="A1" s="79" t="s">
        <v>138</v>
      </c>
      <c r="B1" s="79"/>
      <c r="C1" s="79"/>
      <c r="D1" s="79"/>
      <c r="E1" s="79"/>
      <c r="F1" s="79"/>
      <c r="G1" s="79"/>
      <c r="H1" s="79"/>
    </row>
    <row r="3" spans="1:8" ht="39" customHeight="1" x14ac:dyDescent="0.3">
      <c r="A3" s="74" t="s">
        <v>1</v>
      </c>
      <c r="B3" s="81">
        <v>2018</v>
      </c>
      <c r="C3" s="81">
        <v>2019</v>
      </c>
      <c r="D3" s="81">
        <v>2020</v>
      </c>
      <c r="E3" s="75" t="s">
        <v>61</v>
      </c>
      <c r="F3" s="75" t="s">
        <v>62</v>
      </c>
      <c r="G3" s="75" t="s">
        <v>63</v>
      </c>
      <c r="H3" s="75" t="s">
        <v>64</v>
      </c>
    </row>
    <row r="4" spans="1:8" x14ac:dyDescent="0.3">
      <c r="A4" s="65" t="s">
        <v>50</v>
      </c>
      <c r="B4" s="31">
        <f>'Revenue Modelling'!B3</f>
        <v>15794341</v>
      </c>
      <c r="C4" s="31">
        <f>'Revenue Modelling'!C3</f>
        <v>20156447</v>
      </c>
      <c r="D4" s="31">
        <f>'Revenue Modelling'!D3</f>
        <v>24995956</v>
      </c>
      <c r="E4" s="31">
        <f>'Revenue Modelling'!E3</f>
        <v>28644185.876945671</v>
      </c>
      <c r="F4" s="31">
        <f>'Revenue Modelling'!F3</f>
        <v>33612321.729828678</v>
      </c>
      <c r="G4" s="31">
        <f>'Revenue Modelling'!G3</f>
        <v>38290668.220688149</v>
      </c>
      <c r="H4" s="31">
        <f>'Revenue Modelling'!H3</f>
        <v>42970088.483801767</v>
      </c>
    </row>
    <row r="5" spans="1:8" x14ac:dyDescent="0.3">
      <c r="A5" s="66" t="s">
        <v>51</v>
      </c>
      <c r="B5" s="30">
        <f>'Revenue Modelling'!B4</f>
        <v>365589</v>
      </c>
      <c r="C5" s="30">
        <f>'Revenue Modelling'!C4</f>
        <v>297217</v>
      </c>
      <c r="D5" s="30">
        <f>'Revenue Modelling'!D4</f>
        <v>239281</v>
      </c>
      <c r="E5" s="30">
        <f>'Revenue Modelling'!E4</f>
        <v>193584.66507042624</v>
      </c>
      <c r="F5" s="30">
        <f>'Revenue Modelling'!F4</f>
        <v>156615.12009072641</v>
      </c>
      <c r="G5" s="30">
        <f>'Revenue Modelling'!G4</f>
        <v>126705.77926257353</v>
      </c>
      <c r="H5" s="30">
        <f>'Revenue Modelling'!H4</f>
        <v>102508.33054455914</v>
      </c>
    </row>
    <row r="6" spans="1:8" x14ac:dyDescent="0.3">
      <c r="A6" s="67" t="s">
        <v>53</v>
      </c>
      <c r="B6" s="31">
        <f>'Revenue Modelling'!B6</f>
        <v>16159930</v>
      </c>
      <c r="C6" s="31">
        <f>'Revenue Modelling'!C6</f>
        <v>20453664</v>
      </c>
      <c r="D6" s="31">
        <f>'Revenue Modelling'!D6</f>
        <v>25235237</v>
      </c>
      <c r="E6" s="31">
        <f>'Revenue Modelling'!E6</f>
        <v>28837770.542016096</v>
      </c>
      <c r="F6" s="31">
        <f>'Revenue Modelling'!F6</f>
        <v>33768936.849919401</v>
      </c>
      <c r="G6" s="31">
        <f>'Revenue Modelling'!G6</f>
        <v>38417373.999950722</v>
      </c>
      <c r="H6" s="31">
        <f>'Revenue Modelling'!H6</f>
        <v>43072596.814346328</v>
      </c>
    </row>
    <row r="7" spans="1:8" x14ac:dyDescent="0.3">
      <c r="A7" s="66" t="s">
        <v>87</v>
      </c>
      <c r="B7" s="30">
        <f>'Other items'!B4</f>
        <v>9967538</v>
      </c>
      <c r="C7" s="30">
        <f>'Other items'!C4</f>
        <v>12440213</v>
      </c>
      <c r="D7" s="30">
        <f>'Other items'!D4</f>
        <v>15276319</v>
      </c>
      <c r="E7" s="30">
        <f>'Other items'!E4</f>
        <v>17476551.43362157</v>
      </c>
      <c r="F7" s="30">
        <f>'Other items'!F4</f>
        <v>20507738.360529877</v>
      </c>
      <c r="G7" s="30">
        <f>'Other items'!G4</f>
        <v>23362117.37563096</v>
      </c>
      <c r="H7" s="30">
        <f>'Other items'!H4</f>
        <v>26217151.526685573</v>
      </c>
    </row>
    <row r="8" spans="1:8" x14ac:dyDescent="0.3">
      <c r="A8" s="67" t="s">
        <v>88</v>
      </c>
      <c r="B8" s="31">
        <f>B6-B7</f>
        <v>6192392</v>
      </c>
      <c r="C8" s="31">
        <f t="shared" ref="C8:H8" si="0">C6-C7</f>
        <v>8013451</v>
      </c>
      <c r="D8" s="31">
        <f t="shared" si="0"/>
        <v>9958918</v>
      </c>
      <c r="E8" s="31">
        <f t="shared" si="0"/>
        <v>11361219.108394526</v>
      </c>
      <c r="F8" s="31">
        <f t="shared" si="0"/>
        <v>13261198.489389524</v>
      </c>
      <c r="G8" s="31">
        <f t="shared" si="0"/>
        <v>15055256.624319762</v>
      </c>
      <c r="H8" s="31">
        <f t="shared" si="0"/>
        <v>16855445.287660755</v>
      </c>
    </row>
    <row r="9" spans="1:8" x14ac:dyDescent="0.3">
      <c r="A9" s="28" t="s">
        <v>89</v>
      </c>
      <c r="B9" s="25"/>
      <c r="C9" s="25"/>
      <c r="D9" s="25"/>
      <c r="E9" s="25"/>
      <c r="F9" s="25"/>
      <c r="G9" s="25"/>
      <c r="H9" s="25"/>
    </row>
    <row r="10" spans="1:8" x14ac:dyDescent="0.3">
      <c r="A10" s="5" t="s">
        <v>40</v>
      </c>
      <c r="B10" s="25">
        <f>'Other items'!B7</f>
        <v>2369469</v>
      </c>
      <c r="C10" s="25">
        <f>'Other items'!C7</f>
        <v>2652462</v>
      </c>
      <c r="D10" s="25">
        <f>'Other items'!D7</f>
        <v>2228362</v>
      </c>
      <c r="E10" s="25">
        <f>'Other items'!E7</f>
        <v>3504858.9023767537</v>
      </c>
      <c r="F10" s="25">
        <f>'Other items'!F7</f>
        <v>4104178.53799748</v>
      </c>
      <c r="G10" s="25">
        <f>'Other items'!G7</f>
        <v>4669136.0926631149</v>
      </c>
      <c r="H10" s="25">
        <f>'Other items'!H7</f>
        <v>5234918.3572736839</v>
      </c>
    </row>
    <row r="11" spans="1:8" x14ac:dyDescent="0.3">
      <c r="A11" s="5" t="s">
        <v>41</v>
      </c>
      <c r="B11" s="25">
        <f>'Other items'!B10</f>
        <v>1221814</v>
      </c>
      <c r="C11" s="25">
        <f>'Other items'!C10</f>
        <v>1545149</v>
      </c>
      <c r="D11" s="25">
        <f>'Other items'!D10</f>
        <v>1829600</v>
      </c>
      <c r="E11" s="25">
        <f>'Other items'!E10</f>
        <v>2149887.5010938258</v>
      </c>
      <c r="F11" s="25">
        <f>'Other items'!F10</f>
        <v>2517511.3711752589</v>
      </c>
      <c r="G11" s="25">
        <f>'Other items'!G10</f>
        <v>2864057.47167606</v>
      </c>
      <c r="H11" s="25">
        <f>'Other items'!H10</f>
        <v>3211109.4509160696</v>
      </c>
    </row>
    <row r="12" spans="1:8" x14ac:dyDescent="0.3">
      <c r="A12" s="26" t="s">
        <v>42</v>
      </c>
      <c r="B12" s="30">
        <f>'Other items'!B13</f>
        <v>630294</v>
      </c>
      <c r="C12" s="30">
        <f>'Other items'!C13</f>
        <v>914369</v>
      </c>
      <c r="D12" s="30">
        <f>'Other items'!D13</f>
        <v>1076486</v>
      </c>
      <c r="E12" s="30">
        <f>'Other items'!E13</f>
        <v>1214704.2955994152</v>
      </c>
      <c r="F12" s="30">
        <f>'Other items'!F13</f>
        <v>1422414.8357674934</v>
      </c>
      <c r="G12" s="30">
        <f>'Other items'!G13</f>
        <v>1618216.261045503</v>
      </c>
      <c r="H12" s="30">
        <f>'Other items'!H13</f>
        <v>1814303.5120131157</v>
      </c>
    </row>
    <row r="13" spans="1:8" x14ac:dyDescent="0.3">
      <c r="A13" t="s">
        <v>90</v>
      </c>
      <c r="B13" s="23">
        <f>B8-SUM(B10:B12)</f>
        <v>1970815</v>
      </c>
      <c r="C13" s="23">
        <f t="shared" ref="C13:H13" si="1">C8-SUM(C10:C12)</f>
        <v>2901471</v>
      </c>
      <c r="D13" s="23">
        <f t="shared" si="1"/>
        <v>4824470</v>
      </c>
      <c r="E13" s="23">
        <f t="shared" si="1"/>
        <v>4491768.4093245314</v>
      </c>
      <c r="F13" s="23">
        <f t="shared" si="1"/>
        <v>5217093.7444492914</v>
      </c>
      <c r="G13" s="23">
        <f t="shared" si="1"/>
        <v>5903846.7989350837</v>
      </c>
      <c r="H13" s="23">
        <f t="shared" si="1"/>
        <v>6595113.9674578868</v>
      </c>
    </row>
    <row r="14" spans="1:8" x14ac:dyDescent="0.3">
      <c r="A14" s="26" t="s">
        <v>91</v>
      </c>
      <c r="B14" s="30">
        <f>Schedules!B6</f>
        <v>83157</v>
      </c>
      <c r="C14" s="30">
        <f>Schedules!C6</f>
        <v>103579</v>
      </c>
      <c r="D14" s="30">
        <f>Schedules!D6</f>
        <v>115710</v>
      </c>
      <c r="E14" s="30">
        <f>Schedules!E6</f>
        <v>186714.86806745233</v>
      </c>
      <c r="F14" s="30">
        <f>Schedules!F6</f>
        <v>214240.79180566277</v>
      </c>
      <c r="G14" s="30">
        <f>Schedules!G6</f>
        <v>235565.4695895089</v>
      </c>
      <c r="H14" s="30">
        <f>Schedules!H6</f>
        <v>252342.11800147456</v>
      </c>
    </row>
    <row r="15" spans="1:8" x14ac:dyDescent="0.3">
      <c r="A15" t="s">
        <v>92</v>
      </c>
      <c r="B15" s="23">
        <f>B13-B14</f>
        <v>1887658</v>
      </c>
      <c r="C15" s="23">
        <f t="shared" ref="C15:H15" si="2">C13-C14</f>
        <v>2797892</v>
      </c>
      <c r="D15" s="23">
        <f t="shared" si="2"/>
        <v>4708760</v>
      </c>
      <c r="E15" s="23">
        <f t="shared" si="2"/>
        <v>4305053.5412570788</v>
      </c>
      <c r="F15" s="23">
        <f t="shared" si="2"/>
        <v>5002852.9526436282</v>
      </c>
      <c r="G15" s="23">
        <f t="shared" si="2"/>
        <v>5668281.3293455746</v>
      </c>
      <c r="H15" s="23">
        <f t="shared" si="2"/>
        <v>6342771.8494564118</v>
      </c>
    </row>
    <row r="16" spans="1:8" x14ac:dyDescent="0.3">
      <c r="A16" t="s">
        <v>44</v>
      </c>
      <c r="B16" s="23">
        <f>Schedules!B27</f>
        <v>-420493</v>
      </c>
      <c r="C16" s="23">
        <f>Schedules!C27</f>
        <v>-626023</v>
      </c>
      <c r="D16" s="23">
        <f>Schedules!D27</f>
        <v>-767499</v>
      </c>
      <c r="E16" s="23">
        <f>Schedules!E27</f>
        <v>-696284.80809230579</v>
      </c>
      <c r="F16" s="23">
        <f>Schedules!F27</f>
        <v>-664447.56587357156</v>
      </c>
      <c r="G16" s="23">
        <f>Schedules!G27</f>
        <v>-664447.56587357156</v>
      </c>
      <c r="H16" s="23">
        <f>Schedules!H27</f>
        <v>-646254.85603429482</v>
      </c>
    </row>
    <row r="17" spans="1:8" x14ac:dyDescent="0.3">
      <c r="A17" s="26" t="s">
        <v>45</v>
      </c>
      <c r="B17" s="30">
        <f>'P&amp;L'!B12</f>
        <v>41725</v>
      </c>
      <c r="C17" s="30">
        <f>'P&amp;L'!C12</f>
        <v>84000</v>
      </c>
      <c r="D17" s="30">
        <f>'P&amp;L'!D12</f>
        <v>-618441</v>
      </c>
      <c r="E17" s="30">
        <v>0</v>
      </c>
      <c r="F17" s="30">
        <v>0</v>
      </c>
      <c r="G17" s="30">
        <v>0</v>
      </c>
      <c r="H17" s="30">
        <v>0</v>
      </c>
    </row>
    <row r="18" spans="1:8" x14ac:dyDescent="0.3">
      <c r="A18" s="65" t="s">
        <v>93</v>
      </c>
      <c r="B18" s="31">
        <f>B15+B16+B17</f>
        <v>1508890</v>
      </c>
      <c r="C18" s="31">
        <f t="shared" ref="C18:H18" si="3">C15+C16+C17</f>
        <v>2255869</v>
      </c>
      <c r="D18" s="31">
        <f t="shared" si="3"/>
        <v>3322820</v>
      </c>
      <c r="E18" s="31">
        <f t="shared" si="3"/>
        <v>3608768.7331647729</v>
      </c>
      <c r="F18" s="31">
        <f t="shared" si="3"/>
        <v>4338405.3867700566</v>
      </c>
      <c r="G18" s="31">
        <f t="shared" si="3"/>
        <v>5003833.7634720029</v>
      </c>
      <c r="H18" s="31">
        <f t="shared" si="3"/>
        <v>5696516.9934221171</v>
      </c>
    </row>
    <row r="19" spans="1:8" x14ac:dyDescent="0.3">
      <c r="A19" s="5" t="s">
        <v>94</v>
      </c>
      <c r="B19" s="25">
        <f>'P&amp;L'!B14</f>
        <v>-15216</v>
      </c>
      <c r="C19" s="25">
        <f>'P&amp;L'!C14</f>
        <v>-195315</v>
      </c>
      <c r="D19" s="25">
        <f>'P&amp;L'!D14</f>
        <v>-437954</v>
      </c>
      <c r="E19" s="25">
        <f>E18*E20</f>
        <v>-547850.29937766434</v>
      </c>
      <c r="F19" s="25">
        <f t="shared" ref="F19:H19" si="4">F18*F20</f>
        <v>-658617.07017154119</v>
      </c>
      <c r="G19" s="25">
        <f t="shared" si="4"/>
        <v>-759636.32697241998</v>
      </c>
      <c r="H19" s="25">
        <f t="shared" si="4"/>
        <v>-864793.16659324546</v>
      </c>
    </row>
    <row r="20" spans="1:8" x14ac:dyDescent="0.3">
      <c r="A20" s="26" t="s">
        <v>95</v>
      </c>
      <c r="B20" s="68">
        <f>B19/B21</f>
        <v>-1.0186961813621982E-2</v>
      </c>
      <c r="C20" s="68">
        <f t="shared" ref="C20" si="5">C19/C21</f>
        <v>-9.47876153694589E-2</v>
      </c>
      <c r="D20" s="68">
        <f>$D$19/$D$21</f>
        <v>-0.15181086400546853</v>
      </c>
      <c r="E20" s="68">
        <f t="shared" ref="E20:H20" si="6">$D$19/$D$21</f>
        <v>-0.15181086400546853</v>
      </c>
      <c r="F20" s="68">
        <f t="shared" si="6"/>
        <v>-0.15181086400546853</v>
      </c>
      <c r="G20" s="68">
        <f t="shared" si="6"/>
        <v>-0.15181086400546853</v>
      </c>
      <c r="H20" s="68">
        <f t="shared" si="6"/>
        <v>-0.15181086400546853</v>
      </c>
    </row>
    <row r="21" spans="1:8" ht="19.2" customHeight="1" x14ac:dyDescent="0.3">
      <c r="A21" s="69" t="s">
        <v>96</v>
      </c>
      <c r="B21" s="70">
        <f>B18+B19</f>
        <v>1493674</v>
      </c>
      <c r="C21" s="70">
        <f t="shared" ref="C21:H21" si="7">C18+C19</f>
        <v>2060554</v>
      </c>
      <c r="D21" s="70">
        <f t="shared" si="7"/>
        <v>2884866</v>
      </c>
      <c r="E21" s="70">
        <f t="shared" si="7"/>
        <v>3060918.4337871084</v>
      </c>
      <c r="F21" s="70">
        <f t="shared" si="7"/>
        <v>3679788.3165985155</v>
      </c>
      <c r="G21" s="70">
        <f t="shared" si="7"/>
        <v>4244197.4364995826</v>
      </c>
      <c r="H21" s="70">
        <f t="shared" si="7"/>
        <v>4831723.8268288719</v>
      </c>
    </row>
    <row r="22" spans="1:8" x14ac:dyDescent="0.3">
      <c r="B22" s="23"/>
      <c r="C22" s="23"/>
      <c r="D22" s="23"/>
      <c r="E22" s="23"/>
      <c r="F22" s="23"/>
      <c r="G22" s="23"/>
      <c r="H22" s="23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B05D-45A7-48AF-9156-AA5E8E78B0E8}">
  <dimension ref="A1:H35"/>
  <sheetViews>
    <sheetView topLeftCell="A10" workbookViewId="0">
      <selection activeCell="K20" sqref="K20"/>
    </sheetView>
  </sheetViews>
  <sheetFormatPr defaultRowHeight="14.4" x14ac:dyDescent="0.3"/>
  <cols>
    <col min="1" max="1" width="45.6640625" bestFit="1" customWidth="1"/>
    <col min="2" max="5" width="12.6640625" bestFit="1" customWidth="1"/>
    <col min="6" max="6" width="12.88671875" customWidth="1"/>
    <col min="7" max="7" width="13.33203125" customWidth="1"/>
    <col min="8" max="8" width="13.109375" customWidth="1"/>
  </cols>
  <sheetData>
    <row r="1" spans="1:8" ht="21" x14ac:dyDescent="0.4">
      <c r="A1" s="79" t="s">
        <v>0</v>
      </c>
      <c r="B1" s="79"/>
      <c r="C1" s="79"/>
      <c r="D1" s="79"/>
      <c r="E1" s="79"/>
      <c r="F1" s="79"/>
      <c r="G1" s="79"/>
      <c r="H1" s="79"/>
    </row>
    <row r="3" spans="1:8" ht="28.8" x14ac:dyDescent="0.3">
      <c r="A3" s="74" t="s">
        <v>1</v>
      </c>
      <c r="B3" s="81">
        <v>2018</v>
      </c>
      <c r="C3" s="81">
        <v>2019</v>
      </c>
      <c r="D3" s="81">
        <v>2020</v>
      </c>
      <c r="E3" s="75" t="s">
        <v>61</v>
      </c>
      <c r="F3" s="75" t="s">
        <v>62</v>
      </c>
      <c r="G3" s="75" t="s">
        <v>63</v>
      </c>
      <c r="H3" s="75" t="s">
        <v>64</v>
      </c>
    </row>
    <row r="4" spans="1:8" x14ac:dyDescent="0.3">
      <c r="A4" s="2" t="s">
        <v>2</v>
      </c>
      <c r="B4" s="5"/>
      <c r="C4" s="5"/>
      <c r="D4" s="5"/>
    </row>
    <row r="5" spans="1:8" x14ac:dyDescent="0.3">
      <c r="A5" t="s">
        <v>3</v>
      </c>
      <c r="B5" s="5"/>
      <c r="C5" s="5"/>
      <c r="D5" s="5"/>
    </row>
    <row r="6" spans="1:8" x14ac:dyDescent="0.3">
      <c r="A6" t="s">
        <v>19</v>
      </c>
      <c r="B6" s="25">
        <v>3794483</v>
      </c>
      <c r="C6" s="27">
        <v>5018437</v>
      </c>
      <c r="D6" s="25">
        <v>8205550</v>
      </c>
      <c r="E6" s="25">
        <v>8205550</v>
      </c>
      <c r="F6" s="25">
        <v>8205550</v>
      </c>
      <c r="G6" s="25">
        <v>8205550</v>
      </c>
      <c r="H6" s="25">
        <v>8205550</v>
      </c>
    </row>
    <row r="7" spans="1:8" x14ac:dyDescent="0.3">
      <c r="A7" t="s">
        <v>20</v>
      </c>
      <c r="B7" s="30">
        <v>5899652</v>
      </c>
      <c r="C7" s="27">
        <v>1160067</v>
      </c>
      <c r="D7" s="29">
        <v>1556030</v>
      </c>
      <c r="E7" s="29">
        <v>1556030</v>
      </c>
      <c r="F7" s="29">
        <v>1556030</v>
      </c>
      <c r="G7" s="29">
        <v>1556030</v>
      </c>
      <c r="H7" s="29">
        <v>1556030</v>
      </c>
    </row>
    <row r="8" spans="1:8" x14ac:dyDescent="0.3">
      <c r="A8" t="s">
        <v>5</v>
      </c>
      <c r="B8" s="31">
        <f>SUM(B6:B7)</f>
        <v>9694135</v>
      </c>
      <c r="C8" s="31">
        <f t="shared" ref="C8:D8" si="0">SUM(C6:C7)</f>
        <v>6178504</v>
      </c>
      <c r="D8" s="31">
        <f t="shared" si="0"/>
        <v>9761580</v>
      </c>
      <c r="E8" s="31">
        <f t="shared" ref="E8" si="1">SUM(E6:E7)</f>
        <v>9761580</v>
      </c>
      <c r="F8" s="31">
        <f t="shared" ref="F8" si="2">SUM(F6:F7)</f>
        <v>9761580</v>
      </c>
      <c r="G8" s="31">
        <f t="shared" ref="G8" si="3">SUM(G6:G7)</f>
        <v>9761580</v>
      </c>
      <c r="H8" s="31">
        <f t="shared" ref="H8" si="4">SUM(H6:H7)</f>
        <v>9761580</v>
      </c>
    </row>
    <row r="9" spans="1:8" x14ac:dyDescent="0.3">
      <c r="A9" t="s">
        <v>21</v>
      </c>
      <c r="B9" s="25">
        <v>14951141</v>
      </c>
      <c r="C9" s="25">
        <v>24504567</v>
      </c>
      <c r="D9" s="25">
        <v>25383950</v>
      </c>
      <c r="E9" s="25">
        <v>25383950</v>
      </c>
      <c r="F9" s="25">
        <v>25383950</v>
      </c>
      <c r="G9" s="25">
        <v>25383950</v>
      </c>
      <c r="H9" s="25">
        <v>25383950</v>
      </c>
    </row>
    <row r="10" spans="1:8" x14ac:dyDescent="0.3">
      <c r="A10" t="s">
        <v>22</v>
      </c>
      <c r="B10" s="25">
        <v>418281</v>
      </c>
      <c r="C10" s="25">
        <v>565221</v>
      </c>
      <c r="D10" s="25">
        <v>960183</v>
      </c>
      <c r="E10" s="25">
        <v>960183</v>
      </c>
      <c r="F10" s="25">
        <v>960183</v>
      </c>
      <c r="G10" s="25">
        <v>960183</v>
      </c>
      <c r="H10" s="25">
        <v>960183</v>
      </c>
    </row>
    <row r="11" spans="1:8" x14ac:dyDescent="0.3">
      <c r="A11" t="s">
        <v>23</v>
      </c>
      <c r="B11" s="30">
        <v>910843</v>
      </c>
      <c r="C11" s="30">
        <v>2727420</v>
      </c>
      <c r="D11" s="30">
        <v>3174646</v>
      </c>
      <c r="E11" s="30">
        <v>3174646</v>
      </c>
      <c r="F11" s="30">
        <v>3174646</v>
      </c>
      <c r="G11" s="30">
        <v>3174646</v>
      </c>
      <c r="H11" s="30">
        <v>3174646</v>
      </c>
    </row>
    <row r="12" spans="1:8" ht="15.6" x14ac:dyDescent="0.3">
      <c r="A12" s="94" t="s">
        <v>6</v>
      </c>
      <c r="B12" s="95">
        <f>SUM(B8:B11)</f>
        <v>25974400</v>
      </c>
      <c r="C12" s="95">
        <f t="shared" ref="C12:D12" si="5">SUM(C8:C11)</f>
        <v>33975712</v>
      </c>
      <c r="D12" s="95">
        <f t="shared" si="5"/>
        <v>39280359</v>
      </c>
      <c r="E12" s="95">
        <f t="shared" ref="E12" si="6">SUM(E8:E11)</f>
        <v>39280359</v>
      </c>
      <c r="F12" s="95">
        <f t="shared" ref="F12" si="7">SUM(F8:F11)</f>
        <v>39280359</v>
      </c>
      <c r="G12" s="95">
        <f t="shared" ref="G12" si="8">SUM(G8:G11)</f>
        <v>39280359</v>
      </c>
      <c r="H12" s="95">
        <f t="shared" ref="H12" si="9">SUM(H8:H11)</f>
        <v>39280359</v>
      </c>
    </row>
    <row r="14" spans="1:8" x14ac:dyDescent="0.3">
      <c r="A14" s="2" t="s">
        <v>7</v>
      </c>
    </row>
    <row r="15" spans="1:8" x14ac:dyDescent="0.3">
      <c r="A15" t="s">
        <v>8</v>
      </c>
    </row>
    <row r="16" spans="1:8" x14ac:dyDescent="0.3">
      <c r="A16" t="s">
        <v>28</v>
      </c>
      <c r="B16" s="25">
        <v>4681562</v>
      </c>
      <c r="C16" s="25">
        <v>4413561</v>
      </c>
      <c r="D16" s="25">
        <v>4429536</v>
      </c>
      <c r="E16" s="25">
        <v>4429536</v>
      </c>
      <c r="F16" s="25">
        <v>4429536</v>
      </c>
      <c r="G16" s="25">
        <v>4429536</v>
      </c>
      <c r="H16" s="25">
        <v>4429536</v>
      </c>
    </row>
    <row r="17" spans="1:8" x14ac:dyDescent="0.3">
      <c r="A17" t="s">
        <v>27</v>
      </c>
      <c r="B17" s="25">
        <v>562985</v>
      </c>
      <c r="C17" s="25">
        <v>674347</v>
      </c>
      <c r="D17" s="25">
        <v>656183</v>
      </c>
      <c r="E17" s="25">
        <v>656183</v>
      </c>
      <c r="F17" s="25">
        <v>656183</v>
      </c>
      <c r="G17" s="25">
        <v>656183</v>
      </c>
      <c r="H17" s="25">
        <v>656183</v>
      </c>
    </row>
    <row r="18" spans="1:8" x14ac:dyDescent="0.3">
      <c r="A18" t="s">
        <v>26</v>
      </c>
      <c r="B18" s="25">
        <v>481874</v>
      </c>
      <c r="C18" s="25">
        <v>843043</v>
      </c>
      <c r="D18" s="25">
        <v>1102196</v>
      </c>
      <c r="E18" s="25">
        <v>1102196</v>
      </c>
      <c r="F18" s="25">
        <v>1102196</v>
      </c>
      <c r="G18" s="25">
        <v>1102196</v>
      </c>
      <c r="H18" s="25">
        <v>1102196</v>
      </c>
    </row>
    <row r="19" spans="1:8" x14ac:dyDescent="0.3">
      <c r="A19" s="35" t="s">
        <v>25</v>
      </c>
      <c r="B19" s="60">
        <v>760899</v>
      </c>
      <c r="C19" s="60">
        <v>924745</v>
      </c>
      <c r="D19" s="60">
        <v>1117992</v>
      </c>
      <c r="E19" s="60">
        <v>1117992</v>
      </c>
      <c r="F19" s="60">
        <v>1117992</v>
      </c>
      <c r="G19" s="60">
        <v>1117992</v>
      </c>
      <c r="H19" s="60">
        <v>1117992</v>
      </c>
    </row>
    <row r="20" spans="1:8" x14ac:dyDescent="0.3">
      <c r="A20" t="s">
        <v>24</v>
      </c>
      <c r="B20" s="30"/>
      <c r="C20" s="30"/>
      <c r="D20" s="30">
        <v>499878</v>
      </c>
      <c r="E20" s="30">
        <v>499878</v>
      </c>
      <c r="F20" s="30">
        <v>499878</v>
      </c>
      <c r="G20" s="30">
        <v>499878</v>
      </c>
      <c r="H20" s="30">
        <v>499878</v>
      </c>
    </row>
    <row r="21" spans="1:8" x14ac:dyDescent="0.3">
      <c r="A21" t="s">
        <v>13</v>
      </c>
      <c r="B21" s="31">
        <f>SUM(B16:B20)</f>
        <v>6487320</v>
      </c>
      <c r="C21" s="31">
        <f t="shared" ref="C21:D21" si="10">SUM(C16:C20)</f>
        <v>6855696</v>
      </c>
      <c r="D21" s="31">
        <f t="shared" si="10"/>
        <v>7805785</v>
      </c>
      <c r="E21" s="31">
        <f t="shared" ref="E21" si="11">SUM(E16:E20)</f>
        <v>7805785</v>
      </c>
      <c r="F21" s="31">
        <f t="shared" ref="F21" si="12">SUM(F16:F20)</f>
        <v>7805785</v>
      </c>
      <c r="G21" s="31">
        <f t="shared" ref="G21" si="13">SUM(G16:G20)</f>
        <v>7805785</v>
      </c>
      <c r="H21" s="31">
        <f t="shared" ref="H21" si="14">SUM(H16:H20)</f>
        <v>7805785</v>
      </c>
    </row>
    <row r="22" spans="1:8" x14ac:dyDescent="0.3">
      <c r="A22" t="s">
        <v>14</v>
      </c>
      <c r="B22" s="32">
        <v>3759026</v>
      </c>
      <c r="C22" s="32">
        <v>3334323</v>
      </c>
      <c r="D22" s="32">
        <v>2618084</v>
      </c>
      <c r="E22" s="32">
        <v>2618084</v>
      </c>
      <c r="F22" s="32">
        <v>2618084</v>
      </c>
      <c r="G22" s="32">
        <v>2618084</v>
      </c>
      <c r="H22" s="32">
        <v>2618084</v>
      </c>
    </row>
    <row r="23" spans="1:8" x14ac:dyDescent="0.3">
      <c r="A23" t="s">
        <v>29</v>
      </c>
      <c r="B23" s="32">
        <v>10360058</v>
      </c>
      <c r="C23" s="32">
        <v>14759260</v>
      </c>
      <c r="D23" s="32">
        <v>15809095</v>
      </c>
      <c r="E23" s="32">
        <v>15809095</v>
      </c>
      <c r="F23" s="32">
        <v>15809095</v>
      </c>
      <c r="G23" s="32">
        <v>15809095</v>
      </c>
      <c r="H23" s="32">
        <v>15809095</v>
      </c>
    </row>
    <row r="24" spans="1:8" x14ac:dyDescent="0.3">
      <c r="A24" t="s">
        <v>30</v>
      </c>
      <c r="B24" s="26">
        <v>129231</v>
      </c>
      <c r="C24" s="26">
        <v>1444276</v>
      </c>
      <c r="D24" s="26">
        <v>1982155</v>
      </c>
      <c r="E24" s="26">
        <v>1982155</v>
      </c>
      <c r="F24" s="26">
        <v>1982155</v>
      </c>
      <c r="G24" s="26">
        <v>1982155</v>
      </c>
      <c r="H24" s="26">
        <v>1982155</v>
      </c>
    </row>
    <row r="25" spans="1:8" x14ac:dyDescent="0.3">
      <c r="A25" s="2" t="s">
        <v>15</v>
      </c>
      <c r="B25" s="23">
        <f>SUM(B21:B24)</f>
        <v>20735635</v>
      </c>
      <c r="C25" s="23">
        <f t="shared" ref="C25:D25" si="15">SUM(C21:C24)</f>
        <v>26393555</v>
      </c>
      <c r="D25" s="23">
        <f t="shared" si="15"/>
        <v>28215119</v>
      </c>
      <c r="E25" s="23">
        <f t="shared" ref="E25" si="16">SUM(E21:E24)</f>
        <v>28215119</v>
      </c>
      <c r="F25" s="23">
        <f t="shared" ref="F25" si="17">SUM(F21:F24)</f>
        <v>28215119</v>
      </c>
      <c r="G25" s="23">
        <f t="shared" ref="G25" si="18">SUM(G21:G24)</f>
        <v>28215119</v>
      </c>
      <c r="H25" s="23">
        <f t="shared" ref="H25" si="19">SUM(H21:H24)</f>
        <v>28215119</v>
      </c>
    </row>
    <row r="26" spans="1:8" x14ac:dyDescent="0.3">
      <c r="A26" t="s">
        <v>16</v>
      </c>
      <c r="B26" s="23"/>
      <c r="C26" s="23"/>
      <c r="D26" s="23"/>
    </row>
    <row r="27" spans="1:8" x14ac:dyDescent="0.3">
      <c r="A27" t="s">
        <v>31</v>
      </c>
      <c r="B27" s="25">
        <v>2315988</v>
      </c>
      <c r="C27" s="25">
        <v>2793929</v>
      </c>
      <c r="D27" s="25">
        <v>3447698</v>
      </c>
      <c r="E27" s="25">
        <v>3447698</v>
      </c>
      <c r="F27" s="25">
        <v>3447698</v>
      </c>
      <c r="G27" s="25">
        <v>3447698</v>
      </c>
      <c r="H27" s="25">
        <v>3447698</v>
      </c>
    </row>
    <row r="28" spans="1:8" x14ac:dyDescent="0.3">
      <c r="A28" t="s">
        <v>32</v>
      </c>
      <c r="B28" s="25"/>
      <c r="C28" s="25"/>
      <c r="D28" s="25"/>
      <c r="E28" s="25"/>
      <c r="F28" s="25"/>
      <c r="G28" s="25"/>
      <c r="H28" s="25"/>
    </row>
    <row r="29" spans="1:8" x14ac:dyDescent="0.3">
      <c r="A29" t="s">
        <v>35</v>
      </c>
      <c r="B29" s="25">
        <v>-19582</v>
      </c>
      <c r="C29" s="25">
        <v>-23521</v>
      </c>
      <c r="D29" s="25">
        <v>44398</v>
      </c>
      <c r="E29" s="25">
        <v>44398</v>
      </c>
      <c r="F29" s="25">
        <v>44398</v>
      </c>
      <c r="G29" s="25">
        <v>44398</v>
      </c>
      <c r="H29" s="25">
        <v>44398</v>
      </c>
    </row>
    <row r="30" spans="1:8" x14ac:dyDescent="0.3">
      <c r="A30" t="s">
        <v>33</v>
      </c>
      <c r="B30" s="30">
        <v>2942359</v>
      </c>
      <c r="C30" s="30">
        <v>4811749</v>
      </c>
      <c r="D30" s="30">
        <v>7573144</v>
      </c>
      <c r="E30" s="30">
        <v>7573144</v>
      </c>
      <c r="F30" s="30">
        <v>7573144</v>
      </c>
      <c r="G30" s="30">
        <v>7573144</v>
      </c>
      <c r="H30" s="30">
        <v>7573144</v>
      </c>
    </row>
    <row r="31" spans="1:8" x14ac:dyDescent="0.3">
      <c r="A31" s="2" t="s">
        <v>17</v>
      </c>
      <c r="B31" s="33">
        <f>SUM(B27:B30)</f>
        <v>5238765</v>
      </c>
      <c r="C31" s="33">
        <f t="shared" ref="C31:D31" si="20">SUM(C27:C30)</f>
        <v>7582157</v>
      </c>
      <c r="D31" s="33">
        <f t="shared" si="20"/>
        <v>11065240</v>
      </c>
      <c r="E31" s="33">
        <f t="shared" ref="E31" si="21">SUM(E27:E30)</f>
        <v>11065240</v>
      </c>
      <c r="F31" s="33">
        <f t="shared" ref="F31" si="22">SUM(F27:F30)</f>
        <v>11065240</v>
      </c>
      <c r="G31" s="33">
        <f t="shared" ref="G31" si="23">SUM(G27:G30)</f>
        <v>11065240</v>
      </c>
      <c r="H31" s="33">
        <f t="shared" ref="H31" si="24">SUM(H27:H30)</f>
        <v>11065240</v>
      </c>
    </row>
    <row r="32" spans="1:8" ht="15.6" x14ac:dyDescent="0.3">
      <c r="A32" s="94" t="s">
        <v>18</v>
      </c>
      <c r="B32" s="95">
        <f>SUM(B25+B31)</f>
        <v>25974400</v>
      </c>
      <c r="C32" s="95">
        <f t="shared" ref="C32:D32" si="25">SUM(C25+C31)</f>
        <v>33975712</v>
      </c>
      <c r="D32" s="95">
        <f t="shared" si="25"/>
        <v>39280359</v>
      </c>
      <c r="E32" s="95">
        <f t="shared" ref="E32" si="26">SUM(E25+E31)</f>
        <v>39280359</v>
      </c>
      <c r="F32" s="95">
        <f t="shared" ref="F32" si="27">SUM(F25+F31)</f>
        <v>39280359</v>
      </c>
      <c r="G32" s="95">
        <f t="shared" ref="G32" si="28">SUM(G25+G31)</f>
        <v>39280359</v>
      </c>
      <c r="H32" s="95">
        <f t="shared" ref="H32" si="29">SUM(H25+H31)</f>
        <v>39280359</v>
      </c>
    </row>
    <row r="35" spans="1:8" ht="18" x14ac:dyDescent="0.35">
      <c r="A35" s="96" t="s">
        <v>116</v>
      </c>
      <c r="B35" s="96" t="b">
        <f>B32=B12</f>
        <v>1</v>
      </c>
      <c r="C35" s="96" t="b">
        <f t="shared" ref="C35:H35" si="30">C32=C12</f>
        <v>1</v>
      </c>
      <c r="D35" s="96" t="b">
        <f t="shared" si="30"/>
        <v>1</v>
      </c>
      <c r="E35" s="96" t="b">
        <f>E32=E12</f>
        <v>1</v>
      </c>
      <c r="F35" s="96" t="b">
        <f t="shared" si="30"/>
        <v>1</v>
      </c>
      <c r="G35" s="96" t="b">
        <f t="shared" si="30"/>
        <v>1</v>
      </c>
      <c r="H35" s="96" t="b">
        <f t="shared" si="30"/>
        <v>1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F964-22C0-4C86-A50F-26B749EE6D29}">
  <dimension ref="A1:H25"/>
  <sheetViews>
    <sheetView zoomScale="91" zoomScaleNormal="91" workbookViewId="0">
      <selection activeCell="H27" sqref="H27"/>
    </sheetView>
  </sheetViews>
  <sheetFormatPr defaultRowHeight="14.4" x14ac:dyDescent="0.3"/>
  <cols>
    <col min="1" max="1" width="30.21875" bestFit="1" customWidth="1"/>
    <col min="2" max="2" width="13.21875" customWidth="1"/>
    <col min="3" max="3" width="11.88671875" customWidth="1"/>
    <col min="4" max="4" width="16.21875" customWidth="1"/>
    <col min="5" max="5" width="13" customWidth="1"/>
    <col min="6" max="6" width="15.21875" customWidth="1"/>
    <col min="7" max="7" width="13.5546875" customWidth="1"/>
    <col min="8" max="8" width="15.109375" customWidth="1"/>
  </cols>
  <sheetData>
    <row r="1" spans="1:8" ht="23.4" x14ac:dyDescent="0.45">
      <c r="A1" s="97" t="s">
        <v>97</v>
      </c>
      <c r="B1" s="97"/>
      <c r="C1" s="97"/>
      <c r="D1" s="97"/>
      <c r="E1" s="97"/>
      <c r="F1" s="97"/>
      <c r="G1" s="97"/>
      <c r="H1" s="97"/>
    </row>
    <row r="3" spans="1:8" ht="46.8" customHeight="1" x14ac:dyDescent="0.3">
      <c r="A3" s="77" t="s">
        <v>1</v>
      </c>
      <c r="B3" s="76">
        <v>2018</v>
      </c>
      <c r="C3" s="76">
        <v>2019</v>
      </c>
      <c r="D3" s="76">
        <v>2020</v>
      </c>
      <c r="E3" s="83" t="s">
        <v>61</v>
      </c>
      <c r="F3" s="83" t="s">
        <v>62</v>
      </c>
      <c r="G3" s="83" t="s">
        <v>63</v>
      </c>
      <c r="H3" s="83" t="s">
        <v>64</v>
      </c>
    </row>
    <row r="4" spans="1:8" x14ac:dyDescent="0.3">
      <c r="A4" t="s">
        <v>92</v>
      </c>
      <c r="B4" s="71"/>
      <c r="C4" s="71"/>
      <c r="D4" s="71"/>
      <c r="E4" s="23">
        <f>'P&amp;L Forcasting'!E15</f>
        <v>4305053.5412570788</v>
      </c>
      <c r="F4" s="23">
        <f>'P&amp;L Forcasting'!F15</f>
        <v>5002852.9526436282</v>
      </c>
      <c r="G4" s="23">
        <f>'P&amp;L Forcasting'!G15</f>
        <v>5668281.3293455746</v>
      </c>
      <c r="H4" s="23">
        <f>'P&amp;L Forcasting'!H15</f>
        <v>6342771.8494564118</v>
      </c>
    </row>
    <row r="5" spans="1:8" x14ac:dyDescent="0.3">
      <c r="A5" t="s">
        <v>98</v>
      </c>
      <c r="B5" s="71"/>
      <c r="C5" s="71"/>
      <c r="D5" s="71"/>
      <c r="E5" s="23">
        <f>E4*E6</f>
        <v>-653553.89768803911</v>
      </c>
      <c r="F5" s="23">
        <f t="shared" ref="F5:H5" si="0">F4*F6</f>
        <v>-759487.42923313857</v>
      </c>
      <c r="G5" s="23">
        <f t="shared" si="0"/>
        <v>-860506.68603401736</v>
      </c>
      <c r="H5" s="23">
        <f t="shared" si="0"/>
        <v>-962901.67465554143</v>
      </c>
    </row>
    <row r="6" spans="1:8" x14ac:dyDescent="0.3">
      <c r="A6" t="s">
        <v>99</v>
      </c>
      <c r="B6" s="71"/>
      <c r="C6" s="71"/>
      <c r="D6" s="71"/>
      <c r="E6" s="34">
        <f>'P&amp;L Forcasting'!E20</f>
        <v>-0.15181086400546853</v>
      </c>
      <c r="F6" s="34">
        <f>'P&amp;L Forcasting'!F20</f>
        <v>-0.15181086400546853</v>
      </c>
      <c r="G6" s="34">
        <f>'P&amp;L Forcasting'!G20</f>
        <v>-0.15181086400546853</v>
      </c>
      <c r="H6" s="34">
        <f>'P&amp;L Forcasting'!H20</f>
        <v>-0.15181086400546853</v>
      </c>
    </row>
    <row r="7" spans="1:8" x14ac:dyDescent="0.3">
      <c r="A7" s="2" t="s">
        <v>100</v>
      </c>
      <c r="B7" s="71"/>
      <c r="C7" s="71"/>
      <c r="D7" s="71"/>
      <c r="E7" s="23">
        <f>E4+E5</f>
        <v>3651499.6435690396</v>
      </c>
      <c r="F7" s="23">
        <f t="shared" ref="F7:H7" si="1">F4+F5</f>
        <v>4243365.5234104898</v>
      </c>
      <c r="G7" s="23">
        <f t="shared" si="1"/>
        <v>4807774.6433115574</v>
      </c>
      <c r="H7" s="23">
        <f t="shared" si="1"/>
        <v>5379870.17480087</v>
      </c>
    </row>
    <row r="8" spans="1:8" x14ac:dyDescent="0.3">
      <c r="A8" t="s">
        <v>102</v>
      </c>
      <c r="B8" s="71"/>
      <c r="C8" s="71"/>
      <c r="D8" s="71"/>
      <c r="E8" s="23">
        <f>Schedules!E16</f>
        <v>10579850.30949006</v>
      </c>
      <c r="F8" s="23">
        <f>Schedules!F16</f>
        <v>10895629.69539175</v>
      </c>
      <c r="G8" s="23">
        <f>Schedules!G16</f>
        <v>11121285.624228006</v>
      </c>
      <c r="H8" s="23">
        <f>Schedules!H16</f>
        <v>11282539.33644723</v>
      </c>
    </row>
    <row r="9" spans="1:8" x14ac:dyDescent="0.3">
      <c r="A9" t="s">
        <v>101</v>
      </c>
      <c r="B9" s="71"/>
      <c r="C9" s="71"/>
      <c r="D9" s="71"/>
      <c r="E9" s="23">
        <f>Schedules!E6</f>
        <v>186714.86806745233</v>
      </c>
      <c r="F9" s="23">
        <f>Schedules!F6</f>
        <v>214240.79180566277</v>
      </c>
      <c r="G9" s="23">
        <f>Schedules!G6</f>
        <v>235565.4695895089</v>
      </c>
      <c r="H9" s="23">
        <f>Schedules!H6</f>
        <v>252342.11800147456</v>
      </c>
    </row>
    <row r="10" spans="1:8" x14ac:dyDescent="0.3">
      <c r="A10" s="2" t="s">
        <v>103</v>
      </c>
      <c r="B10" s="71"/>
      <c r="C10" s="71"/>
      <c r="D10" s="71"/>
      <c r="E10" s="23">
        <f>E7+E8+E9</f>
        <v>14418064.821126552</v>
      </c>
      <c r="F10" s="23">
        <f t="shared" ref="F10:H10" si="2">F7+F8+F9</f>
        <v>15353236.010607902</v>
      </c>
      <c r="G10" s="23">
        <f t="shared" si="2"/>
        <v>16164625.737129074</v>
      </c>
      <c r="H10" s="23">
        <f t="shared" si="2"/>
        <v>16914751.629249576</v>
      </c>
    </row>
    <row r="11" spans="1:8" x14ac:dyDescent="0.3">
      <c r="A11" t="s">
        <v>109</v>
      </c>
      <c r="B11" s="71"/>
      <c r="C11" s="71"/>
      <c r="D11" s="71"/>
      <c r="E11" s="23">
        <f>'Other items'!E19-'Other items'!D19</f>
        <v>94509.359158518724</v>
      </c>
      <c r="F11" s="23">
        <f>'Other items'!F19-'Other items'!E19</f>
        <v>130202.39569882466</v>
      </c>
      <c r="G11" s="23">
        <f>'Other items'!G19-'Other items'!F19</f>
        <v>122607.74243232759</v>
      </c>
      <c r="H11" s="23">
        <f>'Other items'!H19-'Other items'!G19</f>
        <v>122635.88331334724</v>
      </c>
    </row>
    <row r="12" spans="1:8" x14ac:dyDescent="0.3">
      <c r="A12" t="s">
        <v>110</v>
      </c>
      <c r="B12" s="71"/>
      <c r="C12" s="71"/>
      <c r="D12" s="71"/>
      <c r="E12" s="23">
        <f>'Other items'!E25-'Other items'!D25</f>
        <v>195088.35274066241</v>
      </c>
      <c r="F12" s="23">
        <f>'Other items'!F25-'Other items'!E25</f>
        <v>224532.53054255899</v>
      </c>
      <c r="G12" s="23">
        <f>'Other items'!G25-'Other items'!F25</f>
        <v>211658.92431812105</v>
      </c>
      <c r="H12" s="23">
        <f>'Other items'!H25-'Other items'!G25</f>
        <v>211967.89836117532</v>
      </c>
    </row>
    <row r="13" spans="1:8" x14ac:dyDescent="0.3">
      <c r="A13" t="s">
        <v>9</v>
      </c>
      <c r="B13" s="71"/>
      <c r="C13" s="71"/>
      <c r="D13" s="71"/>
      <c r="E13" s="23"/>
      <c r="F13" s="23"/>
      <c r="G13" s="23"/>
      <c r="H13" s="23"/>
    </row>
    <row r="14" spans="1:8" x14ac:dyDescent="0.3">
      <c r="A14" t="s">
        <v>111</v>
      </c>
      <c r="B14" s="71"/>
      <c r="C14" s="71"/>
      <c r="D14" s="71"/>
      <c r="E14" s="23"/>
      <c r="F14" s="23"/>
      <c r="G14" s="23"/>
      <c r="H14" s="23"/>
    </row>
    <row r="15" spans="1:8" x14ac:dyDescent="0.3">
      <c r="A15" t="s">
        <v>34</v>
      </c>
      <c r="B15" s="71"/>
      <c r="C15" s="71"/>
      <c r="D15" s="71"/>
      <c r="E15" s="23">
        <f>'Other items'!E16-'Other items'!D16</f>
        <v>222135.82806388172</v>
      </c>
      <c r="F15" s="23">
        <f>'Other items'!F16-'Other items'!E16</f>
        <v>304060.65574445692</v>
      </c>
      <c r="G15" s="23">
        <f>'Other items'!G16-'Other items'!F16</f>
        <v>286627.29256567871</v>
      </c>
      <c r="H15" s="23">
        <f>'Other items'!H16-'Other items'!G16</f>
        <v>287045.70342985075</v>
      </c>
    </row>
    <row r="16" spans="1:8" x14ac:dyDescent="0.3">
      <c r="A16" s="2" t="s">
        <v>112</v>
      </c>
      <c r="B16" s="71"/>
      <c r="C16" s="71"/>
      <c r="D16" s="71"/>
      <c r="E16" s="23">
        <f>E10-SUM(E11:E15)</f>
        <v>13906331.281163489</v>
      </c>
      <c r="F16" s="23"/>
      <c r="G16" s="23"/>
      <c r="H16" s="23"/>
    </row>
    <row r="17" spans="1:8" x14ac:dyDescent="0.3">
      <c r="A17" t="s">
        <v>80</v>
      </c>
      <c r="B17" s="71"/>
      <c r="C17" s="71"/>
      <c r="D17" s="71"/>
      <c r="E17" s="23">
        <f>Schedules!E15</f>
        <v>11686295</v>
      </c>
      <c r="F17" s="23">
        <f>Schedules!F15</f>
        <v>11686295</v>
      </c>
      <c r="G17" s="23">
        <f>Schedules!G15</f>
        <v>11686295</v>
      </c>
      <c r="H17" s="23">
        <f>Schedules!H15</f>
        <v>11686295</v>
      </c>
    </row>
    <row r="18" spans="1:8" x14ac:dyDescent="0.3">
      <c r="A18" t="s">
        <v>113</v>
      </c>
      <c r="B18" s="71"/>
      <c r="C18" s="71"/>
      <c r="D18" s="71"/>
      <c r="E18" s="23"/>
      <c r="F18" s="23"/>
      <c r="G18" s="23"/>
      <c r="H18" s="23"/>
    </row>
    <row r="19" spans="1:8" x14ac:dyDescent="0.3">
      <c r="A19" s="2" t="s">
        <v>104</v>
      </c>
      <c r="B19" s="71"/>
      <c r="C19" s="71"/>
      <c r="D19" s="71"/>
      <c r="E19" s="23">
        <f>-SUM(E17:E18)</f>
        <v>-11686295</v>
      </c>
      <c r="F19" s="23">
        <f t="shared" ref="F19:H19" si="3">-SUM(F17:F18)</f>
        <v>-11686295</v>
      </c>
      <c r="G19" s="23">
        <f t="shared" si="3"/>
        <v>-11686295</v>
      </c>
      <c r="H19" s="23">
        <f t="shared" si="3"/>
        <v>-11686295</v>
      </c>
    </row>
    <row r="20" spans="1:8" x14ac:dyDescent="0.3">
      <c r="A20" s="2" t="s">
        <v>105</v>
      </c>
      <c r="B20" s="71"/>
      <c r="C20" s="71"/>
      <c r="D20" s="71"/>
      <c r="E20" s="23">
        <f>Schedules!E5</f>
        <v>510672</v>
      </c>
      <c r="F20" s="23">
        <f>Schedules!F5</f>
        <v>510672</v>
      </c>
      <c r="G20" s="23">
        <f>Schedules!G5</f>
        <v>510672</v>
      </c>
      <c r="H20" s="23">
        <f>Schedules!H5</f>
        <v>510672</v>
      </c>
    </row>
    <row r="21" spans="1:8" x14ac:dyDescent="0.3">
      <c r="A21" s="2" t="s">
        <v>106</v>
      </c>
      <c r="B21" s="71"/>
      <c r="C21" s="71"/>
      <c r="D21" s="71"/>
      <c r="E21" s="23">
        <f>SUM(E10:E20)</f>
        <v>29346801.642253101</v>
      </c>
      <c r="F21" s="23">
        <f t="shared" ref="F21:H21" si="4">SUM(F10:F20)</f>
        <v>16522703.592593744</v>
      </c>
      <c r="G21" s="23">
        <f t="shared" si="4"/>
        <v>17296191.696445201</v>
      </c>
      <c r="H21" s="23">
        <f t="shared" si="4"/>
        <v>18047073.114353951</v>
      </c>
    </row>
    <row r="22" spans="1:8" x14ac:dyDescent="0.3">
      <c r="A22" t="s">
        <v>114</v>
      </c>
      <c r="B22" s="71"/>
      <c r="C22" s="71"/>
      <c r="D22" s="71"/>
      <c r="E22" s="23">
        <f>Schedules!E24</f>
        <v>-500000</v>
      </c>
      <c r="F22" s="23">
        <f>Schedules!F24</f>
        <v>-700000</v>
      </c>
      <c r="G22" s="23">
        <f>Schedules!G24</f>
        <v>0</v>
      </c>
      <c r="H22" s="23">
        <f>Schedules!H24</f>
        <v>-400000</v>
      </c>
    </row>
    <row r="23" spans="1:8" x14ac:dyDescent="0.3">
      <c r="A23" t="s">
        <v>108</v>
      </c>
      <c r="B23" s="71"/>
      <c r="C23" s="71"/>
      <c r="D23" s="71"/>
      <c r="E23" s="23">
        <f>Schedules!E27</f>
        <v>-696284.80809230579</v>
      </c>
      <c r="F23" s="23">
        <f>Schedules!F27</f>
        <v>-664447.56587357156</v>
      </c>
      <c r="G23" s="23">
        <f>Schedules!G27</f>
        <v>-664447.56587357156</v>
      </c>
      <c r="H23" s="23">
        <f>Schedules!H27</f>
        <v>-646254.85603429482</v>
      </c>
    </row>
    <row r="24" spans="1:8" x14ac:dyDescent="0.3">
      <c r="A24" t="s">
        <v>107</v>
      </c>
      <c r="B24" s="71"/>
      <c r="C24" s="71"/>
      <c r="D24" s="71"/>
      <c r="E24" s="23">
        <f>'P&amp;L Forcasting'!E19-'Cash flow statement'!E5</f>
        <v>105703.59831037477</v>
      </c>
      <c r="F24" s="23">
        <f>'P&amp;L Forcasting'!F19-'Cash flow statement'!F5</f>
        <v>100870.35906159738</v>
      </c>
      <c r="G24" s="23">
        <f>'P&amp;L Forcasting'!G19-'Cash flow statement'!G5</f>
        <v>100870.35906159738</v>
      </c>
      <c r="H24" s="23">
        <f>'P&amp;L Forcasting'!H19-'Cash flow statement'!H5</f>
        <v>98108.508062295965</v>
      </c>
    </row>
    <row r="25" spans="1:8" x14ac:dyDescent="0.3">
      <c r="A25" s="86" t="s">
        <v>115</v>
      </c>
      <c r="B25" s="86"/>
      <c r="C25" s="86"/>
      <c r="D25" s="86"/>
      <c r="E25" s="98">
        <f>SUM(E21:E24)</f>
        <v>28256220.432471167</v>
      </c>
      <c r="F25" s="98">
        <f t="shared" ref="F25:H25" si="5">SUM(F21:F24)</f>
        <v>15259126.385781771</v>
      </c>
      <c r="G25" s="98">
        <f t="shared" si="5"/>
        <v>16732614.489633227</v>
      </c>
      <c r="H25" s="98">
        <f t="shared" si="5"/>
        <v>17098926.766381953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1FF2-8809-4526-A96E-9B544980B1F0}">
  <dimension ref="A1:B18"/>
  <sheetViews>
    <sheetView workbookViewId="0">
      <selection activeCell="E11" sqref="E11"/>
    </sheetView>
  </sheetViews>
  <sheetFormatPr defaultRowHeight="14.4" x14ac:dyDescent="0.3"/>
  <cols>
    <col min="1" max="1" width="20.5546875" customWidth="1"/>
    <col min="2" max="2" width="14.109375" customWidth="1"/>
  </cols>
  <sheetData>
    <row r="1" spans="1:2" ht="21" x14ac:dyDescent="0.4">
      <c r="A1" s="79" t="s">
        <v>117</v>
      </c>
      <c r="B1" s="79"/>
    </row>
    <row r="3" spans="1:2" x14ac:dyDescent="0.3">
      <c r="A3" s="73" t="s">
        <v>118</v>
      </c>
      <c r="B3" s="102">
        <v>1.67</v>
      </c>
    </row>
    <row r="4" spans="1:2" x14ac:dyDescent="0.3">
      <c r="A4" s="73" t="s">
        <v>119</v>
      </c>
      <c r="B4" s="102">
        <v>5.5E-2</v>
      </c>
    </row>
    <row r="5" spans="1:2" x14ac:dyDescent="0.3">
      <c r="A5" s="73" t="s">
        <v>120</v>
      </c>
      <c r="B5" s="102">
        <v>1.0580000000000001E-2</v>
      </c>
    </row>
    <row r="7" spans="1:2" x14ac:dyDescent="0.3">
      <c r="A7" s="100" t="s">
        <v>1</v>
      </c>
      <c r="B7" s="100" t="s">
        <v>125</v>
      </c>
    </row>
    <row r="9" spans="1:2" x14ac:dyDescent="0.3">
      <c r="A9" t="s">
        <v>121</v>
      </c>
      <c r="B9" s="45">
        <f>B3*B5+B4</f>
        <v>7.26686E-2</v>
      </c>
    </row>
    <row r="10" spans="1:2" x14ac:dyDescent="0.3">
      <c r="A10" t="s">
        <v>122</v>
      </c>
      <c r="B10" s="45">
        <v>4.8800000000000003E-2</v>
      </c>
    </row>
    <row r="12" spans="1:2" x14ac:dyDescent="0.3">
      <c r="A12" t="s">
        <v>123</v>
      </c>
      <c r="B12" s="23">
        <f>'Balance Sheet '!H31</f>
        <v>11065240</v>
      </c>
    </row>
    <row r="13" spans="1:2" x14ac:dyDescent="0.3">
      <c r="A13" t="s">
        <v>124</v>
      </c>
      <c r="B13" s="23">
        <f>'Balance Sheet '!H23</f>
        <v>15809095</v>
      </c>
    </row>
    <row r="15" spans="1:2" x14ac:dyDescent="0.3">
      <c r="A15" t="s">
        <v>126</v>
      </c>
      <c r="B15" s="43">
        <f>B12/(B12+B13)</f>
        <v>0.41174004863748259</v>
      </c>
    </row>
    <row r="16" spans="1:2" x14ac:dyDescent="0.3">
      <c r="A16" t="s">
        <v>127</v>
      </c>
      <c r="B16" s="43">
        <f>B13/(B12+B13)</f>
        <v>0.58825995136251741</v>
      </c>
    </row>
    <row r="18" spans="1:2" ht="18" x14ac:dyDescent="0.35">
      <c r="A18" s="101" t="s">
        <v>117</v>
      </c>
      <c r="B18" s="99">
        <f>B9*B15+B10*B16</f>
        <v>5.8627658524908616E-2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D2D7-8DA2-4DC1-8A58-923A2D67681D}">
  <dimension ref="A1:E24"/>
  <sheetViews>
    <sheetView workbookViewId="0">
      <selection activeCell="G9" sqref="G9"/>
    </sheetView>
  </sheetViews>
  <sheetFormatPr defaultRowHeight="14.4" x14ac:dyDescent="0.3"/>
  <cols>
    <col min="1" max="1" width="19.77734375" customWidth="1"/>
    <col min="2" max="2" width="18.44140625" customWidth="1"/>
    <col min="3" max="3" width="14.77734375" customWidth="1"/>
    <col min="4" max="4" width="13.88671875" customWidth="1"/>
    <col min="5" max="5" width="14.33203125" customWidth="1"/>
  </cols>
  <sheetData>
    <row r="1" spans="1:5" ht="21" x14ac:dyDescent="0.4">
      <c r="A1" s="79" t="s">
        <v>128</v>
      </c>
      <c r="B1" s="79"/>
      <c r="C1" s="79"/>
      <c r="D1" s="79"/>
      <c r="E1" s="79"/>
    </row>
    <row r="4" spans="1:5" ht="40.799999999999997" customHeight="1" x14ac:dyDescent="0.3">
      <c r="A4" s="82" t="s">
        <v>1</v>
      </c>
      <c r="B4" s="109" t="s">
        <v>61</v>
      </c>
      <c r="C4" s="109" t="s">
        <v>62</v>
      </c>
      <c r="D4" s="109" t="s">
        <v>63</v>
      </c>
      <c r="E4" s="109" t="s">
        <v>64</v>
      </c>
    </row>
    <row r="5" spans="1:5" x14ac:dyDescent="0.3">
      <c r="A5" s="110" t="s">
        <v>106</v>
      </c>
      <c r="B5" s="111">
        <f>'Cash flow statement'!E21</f>
        <v>29346801.642253101</v>
      </c>
      <c r="C5" s="111">
        <f>'Cash flow statement'!F21</f>
        <v>16522703.592593744</v>
      </c>
      <c r="D5" s="111">
        <f>'Cash flow statement'!G21</f>
        <v>17296191.696445201</v>
      </c>
      <c r="E5" s="111">
        <f>'Cash flow statement'!H21</f>
        <v>18047073.114353951</v>
      </c>
    </row>
    <row r="6" spans="1:5" x14ac:dyDescent="0.3">
      <c r="A6" s="110" t="s">
        <v>129</v>
      </c>
      <c r="B6" s="112">
        <f>1/(1+WACC!$B$18)^DCF!B7</f>
        <v>0.94461918876500894</v>
      </c>
      <c r="C6" s="112">
        <f>1/(1+WACC!$B$18)^DCF!C7</f>
        <v>0.89230541178306344</v>
      </c>
      <c r="D6" s="112">
        <f>1/(1+WACC!$B$18)^DCF!D7</f>
        <v>0.84288881420914463</v>
      </c>
      <c r="E6" s="112">
        <f>1/(1+WACC!$B$18)^DCF!E7</f>
        <v>0.79620894789734231</v>
      </c>
    </row>
    <row r="7" spans="1:5" x14ac:dyDescent="0.3">
      <c r="A7" s="110" t="s">
        <v>130</v>
      </c>
      <c r="B7" s="73">
        <v>1</v>
      </c>
      <c r="C7" s="73">
        <v>2</v>
      </c>
      <c r="D7" s="73">
        <v>3</v>
      </c>
      <c r="E7" s="73">
        <v>4</v>
      </c>
    </row>
    <row r="8" spans="1:5" x14ac:dyDescent="0.3">
      <c r="A8" s="110"/>
      <c r="B8" s="73"/>
      <c r="C8" s="73"/>
      <c r="D8" s="73"/>
      <c r="E8" s="73"/>
    </row>
    <row r="9" spans="1:5" x14ac:dyDescent="0.3">
      <c r="A9" s="110" t="s">
        <v>131</v>
      </c>
      <c r="B9" s="111">
        <f>B5*B6</f>
        <v>27721551.960152756</v>
      </c>
      <c r="C9" s="111">
        <f t="shared" ref="C9:E9" si="0">C5*C6</f>
        <v>14743297.832958862</v>
      </c>
      <c r="D9" s="111">
        <f t="shared" si="0"/>
        <v>14578766.509350749</v>
      </c>
      <c r="E9" s="111">
        <f t="shared" si="0"/>
        <v>14369241.097006172</v>
      </c>
    </row>
    <row r="10" spans="1:5" x14ac:dyDescent="0.3">
      <c r="B10" s="23"/>
      <c r="C10" s="23"/>
      <c r="D10" s="23"/>
      <c r="E10" s="23"/>
    </row>
    <row r="11" spans="1:5" x14ac:dyDescent="0.3">
      <c r="A11" s="108" t="s">
        <v>132</v>
      </c>
      <c r="B11" s="104">
        <f>SUM(B9:E9)</f>
        <v>71412857.399468541</v>
      </c>
      <c r="C11" s="23"/>
      <c r="D11" s="23"/>
      <c r="E11" s="23"/>
    </row>
    <row r="12" spans="1:5" x14ac:dyDescent="0.3">
      <c r="A12" s="2"/>
      <c r="B12" s="2"/>
    </row>
    <row r="13" spans="1:5" x14ac:dyDescent="0.3">
      <c r="A13" s="108" t="s">
        <v>133</v>
      </c>
      <c r="B13" s="105">
        <f>E5*(1+WACC!B3)/(WACC!B18-WACC!B3)</f>
        <v>-29903507.696560465</v>
      </c>
      <c r="C13" s="24"/>
      <c r="D13" s="24"/>
      <c r="E13" s="24"/>
    </row>
    <row r="14" spans="1:5" x14ac:dyDescent="0.3">
      <c r="A14" s="2"/>
      <c r="B14" s="2"/>
    </row>
    <row r="15" spans="1:5" x14ac:dyDescent="0.3">
      <c r="A15" s="108" t="s">
        <v>134</v>
      </c>
      <c r="B15" s="106">
        <f>B13*E6</f>
        <v>-23809440.401518486</v>
      </c>
    </row>
    <row r="16" spans="1:5" x14ac:dyDescent="0.3">
      <c r="A16" s="2"/>
      <c r="B16" s="2"/>
    </row>
    <row r="17" spans="1:2" x14ac:dyDescent="0.3">
      <c r="A17" s="2"/>
      <c r="B17" s="2"/>
    </row>
    <row r="18" spans="1:2" x14ac:dyDescent="0.3">
      <c r="A18" s="108" t="s">
        <v>135</v>
      </c>
      <c r="B18" s="106">
        <f>B11+B15</f>
        <v>47603416.997950055</v>
      </c>
    </row>
    <row r="19" spans="1:2" ht="15" customHeight="1" x14ac:dyDescent="0.3">
      <c r="A19" s="2"/>
      <c r="B19" s="103"/>
    </row>
    <row r="20" spans="1:2" x14ac:dyDescent="0.3">
      <c r="A20" s="108" t="s">
        <v>124</v>
      </c>
      <c r="B20" s="107">
        <f>'Balance Sheet '!H23</f>
        <v>15809095</v>
      </c>
    </row>
    <row r="21" spans="1:2" x14ac:dyDescent="0.3">
      <c r="A21" s="2"/>
      <c r="B21" s="2"/>
    </row>
    <row r="22" spans="1:2" x14ac:dyDescent="0.3">
      <c r="A22" s="108" t="s">
        <v>123</v>
      </c>
      <c r="B22" s="107">
        <f>'Balance Sheet '!H6</f>
        <v>8205550</v>
      </c>
    </row>
    <row r="23" spans="1:2" x14ac:dyDescent="0.3">
      <c r="A23" s="2"/>
      <c r="B23" s="2"/>
    </row>
    <row r="24" spans="1:2" x14ac:dyDescent="0.3">
      <c r="A24" s="108" t="s">
        <v>136</v>
      </c>
      <c r="B24" s="106">
        <f>B22+B18-B20</f>
        <v>39999871.997950055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Balance Sheet</vt:lpstr>
      <vt:lpstr>P&amp;L</vt:lpstr>
      <vt:lpstr>Revenue Modelling</vt:lpstr>
      <vt:lpstr>Other items</vt:lpstr>
      <vt:lpstr>Schedules</vt:lpstr>
      <vt:lpstr>P&amp;L Forcasting</vt:lpstr>
      <vt:lpstr>Balance Sheet </vt:lpstr>
      <vt:lpstr>Cash flow statement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Jakkula Ajay</dc:creator>
  <cp:lastModifiedBy>Jakkula Ajay</cp:lastModifiedBy>
  <dcterms:created xsi:type="dcterms:W3CDTF">2022-07-09T08:18:55Z</dcterms:created>
  <dcterms:modified xsi:type="dcterms:W3CDTF">2026-03-15T10:32:52Z</dcterms:modified>
</cp:coreProperties>
</file>